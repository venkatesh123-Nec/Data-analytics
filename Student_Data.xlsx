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Sheet1" sheetId="3" r:id="rId1"/>
    <sheet name="Sheet3" sheetId="5" r:id="rId2"/>
    <sheet name="Student Data" sheetId="1" r:id="rId3"/>
    <sheet name="Sheet2" sheetId="4" r:id="rId4"/>
  </sheets>
  <definedNames>
    <definedName name="Slicer_Gender">#N/A</definedName>
    <definedName name="Slicer_Student_ID">#N/A</definedName>
    <definedName name="Slicer_Department">#N/A</definedName>
    <definedName name="Slicer_Performance_Status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<sst xmlns="http://schemas.openxmlformats.org/spreadsheetml/2006/main" count="234" uniqueCount="66">
  <si>
    <t>Department</t>
  </si>
  <si>
    <t>Sum of GPA</t>
  </si>
  <si>
    <t>ECE</t>
  </si>
  <si>
    <t>CSE</t>
  </si>
  <si>
    <t>Student ID</t>
  </si>
  <si>
    <t>Sum of Total Marks</t>
  </si>
  <si>
    <t>EEE</t>
  </si>
  <si>
    <t>Sum of Sub1</t>
  </si>
  <si>
    <t>Sum of Sub2</t>
  </si>
  <si>
    <t>Sum of Sub3</t>
  </si>
  <si>
    <t>Sum of Sub4</t>
  </si>
  <si>
    <t>Sum of Sub5</t>
  </si>
  <si>
    <t>S001</t>
  </si>
  <si>
    <t>ME</t>
  </si>
  <si>
    <t>S002</t>
  </si>
  <si>
    <t>CE</t>
  </si>
  <si>
    <t>S003</t>
  </si>
  <si>
    <t>Grand Total</t>
  </si>
  <si>
    <t>S004</t>
  </si>
  <si>
    <t>S005</t>
  </si>
  <si>
    <t>S006</t>
  </si>
  <si>
    <t>Sum of Attendance %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</si>
  <si>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</si>
  <si>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</si>
  <si>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</si>
  <si>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</si>
  <si>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</si>
  <si>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</si>
  <si>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</si>
  <si>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</si>
  <si>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</si>
  <si>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</si>
  <si>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</si>
  <si>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</si>
  <si>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</si>
  <si>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</si>
  <si>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</si>
  <si>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</si>
  <si>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</si>
  <si>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</si>
  <si>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</si>
  <si>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</si>
  <si>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</si>
  <si>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</si>
  <si>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</si>
  <si>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</si>
  <si>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DEPT</t>
  </si>
  <si>
    <t>Sum of Average gpa</t>
  </si>
  <si>
    <t>Gender</t>
  </si>
  <si>
    <t>Semester</t>
  </si>
  <si>
    <t>Attendance %</t>
  </si>
  <si>
    <t>Sub1</t>
  </si>
  <si>
    <t>Sub2</t>
  </si>
  <si>
    <t>Sub3</t>
  </si>
  <si>
    <t>Sub4</t>
  </si>
  <si>
    <t>Sub5</t>
  </si>
  <si>
    <t>Total Marks</t>
  </si>
  <si>
    <t>GPA</t>
  </si>
  <si>
    <t>Percentage</t>
  </si>
  <si>
    <t>Performance Status</t>
  </si>
  <si>
    <t>Male</t>
  </si>
  <si>
    <t>Average gpa</t>
  </si>
  <si>
    <t>Height gpa</t>
  </si>
  <si>
    <t>Lowest gpa</t>
  </si>
  <si>
    <t>No. of students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</si>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</sst>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alignment wrapText="1"/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8" tint="-0.249977111117893"/>
      </font>
    </dxf>
    <dxf>
      <font>
        <b val="1"/>
        <color theme="8" tint="-0.249977111117893"/>
      </font>
    </dxf>
    <dxf>
      <font>
        <b val="1"/>
        <color theme="8" tint="-0.249977111117893"/>
      </font>
      <border>
        <top style="thin">
          <color theme="8"/>
        </top>
      </border>
    </dxf>
    <dxf>
      <font>
        <b val="1"/>
        <color theme="8" tint="-0.499984740745262"/>
      </font>
      <border>
        <top style="thin">
          <color theme="8"/>
        </top>
        <bottom style="medium">
          <color theme="8"/>
        </bottom>
      </border>
    </dxf>
    <dxf>
      <font>
        <color theme="8" tint="-0.499984740745262"/>
      </font>
      <border>
        <top style="thin">
          <color theme="8"/>
        </top>
        <bottom style="thin">
          <color theme="8"/>
        </bottom>
      </border>
    </dxf>
    <dxf>
      <fill>
        <patternFill patternType="solid">
          <fgColor theme="8" tint="0.599993896298105"/>
          <bgColor theme="8" tint="0.599993896298105"/>
        </patternFill>
      </fill>
    </dxf>
    <dxf>
      <fill>
        <patternFill patternType="solid">
          <fgColor theme="8" tint="0.599993896298105"/>
          <bgColor theme="8" tint="0.599993896298105"/>
        </patternFill>
      </fill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b val="1"/>
        <color theme="1"/>
      </font>
      <fill>
        <patternFill patternType="solid">
          <fgColor theme="8" tint="0.799981688894314"/>
          <bgColor theme="8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8"/>
          <bgColor theme="8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8" tint="0.799981688894314"/>
          <bgColor theme="8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TableStyleMedium9" defaultPivotStyle="PivotStyleLight16">
    <tableStyle name="TableStylePreset1_Accent5" pivot="0" count="7" xr9:uid="{121EFD10-1A56-437C-B79E-B69F2C24446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TableStylePreset4_Accent5" pivot="0" count="7" xr9:uid="{6C9D133A-CB10-4F01-94E3-56570E40E217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mruColors>
      <color rgb="00F7FD9D"/>
      <color rgb="00F1AF4F"/>
      <color rgb="0030E2E4"/>
      <color rgb="001F2DA8"/>
      <color rgb="00EF311D"/>
      <color rgb="00F79A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Sheet1!$O$12</c:f>
              <c:strCache>
                <c:ptCount val="1"/>
                <c:pt idx="0">
                  <c:v>Sum of GPA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Sheet1!$N$13:$N$43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Sheet1!$O$13:$O$43</c:f>
              <c:numCache>
                <c:formatCode>General</c:formatCode>
                <c:ptCount val="30"/>
                <c:pt idx="0">
                  <c:v>8.1</c:v>
                </c:pt>
                <c:pt idx="1">
                  <c:v>8.8</c:v>
                </c:pt>
                <c:pt idx="2">
                  <c:v>7</c:v>
                </c:pt>
                <c:pt idx="3">
                  <c:v>8.08</c:v>
                </c:pt>
                <c:pt idx="4">
                  <c:v>6.2</c:v>
                </c:pt>
                <c:pt idx="5">
                  <c:v>9.12</c:v>
                </c:pt>
                <c:pt idx="6">
                  <c:v>8</c:v>
                </c:pt>
                <c:pt idx="7">
                  <c:v>6.9</c:v>
                </c:pt>
                <c:pt idx="8">
                  <c:v>7.58</c:v>
                </c:pt>
                <c:pt idx="9">
                  <c:v>8.76</c:v>
                </c:pt>
                <c:pt idx="10">
                  <c:v>5.84</c:v>
                </c:pt>
                <c:pt idx="11">
                  <c:v>8.5</c:v>
                </c:pt>
                <c:pt idx="12">
                  <c:v>7</c:v>
                </c:pt>
                <c:pt idx="13">
                  <c:v>7.88</c:v>
                </c:pt>
                <c:pt idx="14">
                  <c:v>8.58</c:v>
                </c:pt>
                <c:pt idx="15">
                  <c:v>9.28</c:v>
                </c:pt>
                <c:pt idx="16">
                  <c:v>7.3</c:v>
                </c:pt>
                <c:pt idx="17">
                  <c:v>7.9</c:v>
                </c:pt>
                <c:pt idx="18">
                  <c:v>6.62</c:v>
                </c:pt>
                <c:pt idx="19">
                  <c:v>8.28</c:v>
                </c:pt>
                <c:pt idx="20">
                  <c:v>7.5</c:v>
                </c:pt>
                <c:pt idx="21">
                  <c:v>9.1</c:v>
                </c:pt>
                <c:pt idx="22">
                  <c:v>6.16</c:v>
                </c:pt>
                <c:pt idx="23">
                  <c:v>8</c:v>
                </c:pt>
                <c:pt idx="24">
                  <c:v>7.1</c:v>
                </c:pt>
                <c:pt idx="25">
                  <c:v>8.8</c:v>
                </c:pt>
                <c:pt idx="26">
                  <c:v>6.9</c:v>
                </c:pt>
                <c:pt idx="27">
                  <c:v>8.28</c:v>
                </c:pt>
                <c:pt idx="28">
                  <c:v>6.66</c:v>
                </c:pt>
                <c:pt idx="29">
                  <c:v>9.08</c:v>
                </c:pt>
              </c:numCache>
            </c:numRef>
          </c:val>
        </c:ser>
        <c:ser>
          <c:idx val="1"/>
          <c:order val="1"/>
          <c:tx>
            <c:strRef>
              <c:f>Sheet1!$P$12</c:f>
              <c:strCache>
                <c:ptCount val="1"/>
                <c:pt idx="0">
                  <c:v>Sum of Attendance %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Sheet1!$N$13:$N$43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Sheet1!$P$13:$P$43</c:f>
              <c:numCache>
                <c:formatCode>General</c:formatCode>
                <c:ptCount val="30"/>
                <c:pt idx="0">
                  <c:v>82</c:v>
                </c:pt>
                <c:pt idx="1">
                  <c:v>91</c:v>
                </c:pt>
                <c:pt idx="2">
                  <c:v>76</c:v>
                </c:pt>
                <c:pt idx="3">
                  <c:v>88</c:v>
                </c:pt>
                <c:pt idx="4">
                  <c:v>69</c:v>
                </c:pt>
                <c:pt idx="5">
                  <c:v>95</c:v>
                </c:pt>
                <c:pt idx="6">
                  <c:v>85</c:v>
                </c:pt>
                <c:pt idx="7">
                  <c:v>73</c:v>
                </c:pt>
                <c:pt idx="8">
                  <c:v>80</c:v>
                </c:pt>
                <c:pt idx="9">
                  <c:v>92</c:v>
                </c:pt>
                <c:pt idx="10">
                  <c:v>67</c:v>
                </c:pt>
                <c:pt idx="11">
                  <c:v>89</c:v>
                </c:pt>
                <c:pt idx="12">
                  <c:v>74</c:v>
                </c:pt>
                <c:pt idx="13">
                  <c:v>81</c:v>
                </c:pt>
                <c:pt idx="14">
                  <c:v>90</c:v>
                </c:pt>
                <c:pt idx="15">
                  <c:v>96</c:v>
                </c:pt>
                <c:pt idx="16">
                  <c:v>78</c:v>
                </c:pt>
                <c:pt idx="17">
                  <c:v>83</c:v>
                </c:pt>
                <c:pt idx="18">
                  <c:v>71</c:v>
                </c:pt>
                <c:pt idx="19">
                  <c:v>87</c:v>
                </c:pt>
                <c:pt idx="20">
                  <c:v>79</c:v>
                </c:pt>
                <c:pt idx="21">
                  <c:v>93</c:v>
                </c:pt>
                <c:pt idx="22">
                  <c:v>68</c:v>
                </c:pt>
                <c:pt idx="23">
                  <c:v>84</c:v>
                </c:pt>
                <c:pt idx="24">
                  <c:v>77</c:v>
                </c:pt>
                <c:pt idx="25">
                  <c:v>91</c:v>
                </c:pt>
                <c:pt idx="26">
                  <c:v>75</c:v>
                </c:pt>
                <c:pt idx="27">
                  <c:v>86</c:v>
                </c:pt>
                <c:pt idx="28">
                  <c:v>72</c:v>
                </c:pt>
                <c:pt idx="29">
                  <c:v>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8252656"/>
        <c:axId val="819301511"/>
      </c:barChart>
      <c:catAx>
        <c:axId val="9582526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9301511"/>
        <c:crosses val="autoZero"/>
        <c:auto val="1"/>
        <c:lblAlgn val="ctr"/>
        <c:lblOffset val="100"/>
        <c:noMultiLvlLbl val="0"/>
      </c:catAx>
      <c:valAx>
        <c:axId val="819301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25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8986d55-46c5-44e3-86f8-6d39941761fc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"Sum of Sub1"</c:f>
              <c:strCache>
                <c:ptCount val="1"/>
                <c:pt idx="0">
                  <c:v>Sum of Sub1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{"S001","S002","S003","S004","S005","S006","S007","S008","S009","S010","S011","S012","S013","S014","S015","S016","S017","S018","S019","S020","S021","S022","S023","S024","S025","S026","S027","S028","S029","S030"}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{78,88,65,82,60,90,78,68,75,88,55,84,70,78,85,94,72,78,65,82,74,90,60,80,70,88,68,82,65,90}</c:f>
              <c:numCache>
                <c:formatCode>General</c:formatCode>
                <c:ptCount val="30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82</c:v>
                </c:pt>
                <c:pt idx="4">
                  <c:v>60</c:v>
                </c:pt>
                <c:pt idx="5">
                  <c:v>90</c:v>
                </c:pt>
                <c:pt idx="6">
                  <c:v>78</c:v>
                </c:pt>
                <c:pt idx="7">
                  <c:v>68</c:v>
                </c:pt>
                <c:pt idx="8">
                  <c:v>75</c:v>
                </c:pt>
                <c:pt idx="9">
                  <c:v>88</c:v>
                </c:pt>
                <c:pt idx="10">
                  <c:v>55</c:v>
                </c:pt>
                <c:pt idx="11">
                  <c:v>84</c:v>
                </c:pt>
                <c:pt idx="12">
                  <c:v>70</c:v>
                </c:pt>
                <c:pt idx="13">
                  <c:v>78</c:v>
                </c:pt>
                <c:pt idx="14">
                  <c:v>85</c:v>
                </c:pt>
                <c:pt idx="15">
                  <c:v>94</c:v>
                </c:pt>
                <c:pt idx="16">
                  <c:v>72</c:v>
                </c:pt>
                <c:pt idx="17">
                  <c:v>78</c:v>
                </c:pt>
                <c:pt idx="18">
                  <c:v>65</c:v>
                </c:pt>
                <c:pt idx="19">
                  <c:v>82</c:v>
                </c:pt>
                <c:pt idx="20">
                  <c:v>74</c:v>
                </c:pt>
                <c:pt idx="21">
                  <c:v>90</c:v>
                </c:pt>
                <c:pt idx="22">
                  <c:v>60</c:v>
                </c:pt>
                <c:pt idx="23">
                  <c:v>80</c:v>
                </c:pt>
                <c:pt idx="24">
                  <c:v>70</c:v>
                </c:pt>
                <c:pt idx="25">
                  <c:v>88</c:v>
                </c:pt>
                <c:pt idx="26">
                  <c:v>68</c:v>
                </c:pt>
                <c:pt idx="27">
                  <c:v>82</c:v>
                </c:pt>
                <c:pt idx="28">
                  <c:v>65</c:v>
                </c:pt>
                <c:pt idx="29">
                  <c:v>90</c:v>
                </c:pt>
              </c:numCache>
            </c:numRef>
          </c:val>
        </c:ser>
        <c:ser>
          <c:idx val="1"/>
          <c:order val="1"/>
          <c:tx>
            <c:strRef>
              <c:f>"Sum of Sub5"</c:f>
              <c:strCache>
                <c:ptCount val="1"/>
                <c:pt idx="0">
                  <c:v>Sum of Sub5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{"S001","S002","S003","S004","S005","S006","S007","S008","S009","S010","S011","S012","S013","S014","S015","S016","S017","S018","S019","S020","S021","S022","S023","S024","S025","S026","S027","S028","S029","S030"}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{88,92,75,78,66,94,84,69,76,89,57,85,69,79,86,93,73,79,66,83,75,91,63,81,71,89,69,83,68,93}</c:f>
              <c:numCache>
                <c:formatCode>General</c:formatCode>
                <c:ptCount val="30"/>
                <c:pt idx="0">
                  <c:v>88</c:v>
                </c:pt>
                <c:pt idx="1">
                  <c:v>92</c:v>
                </c:pt>
                <c:pt idx="2">
                  <c:v>75</c:v>
                </c:pt>
                <c:pt idx="3">
                  <c:v>78</c:v>
                </c:pt>
                <c:pt idx="4">
                  <c:v>66</c:v>
                </c:pt>
                <c:pt idx="5">
                  <c:v>94</c:v>
                </c:pt>
                <c:pt idx="6">
                  <c:v>84</c:v>
                </c:pt>
                <c:pt idx="7">
                  <c:v>69</c:v>
                </c:pt>
                <c:pt idx="8">
                  <c:v>76</c:v>
                </c:pt>
                <c:pt idx="9">
                  <c:v>89</c:v>
                </c:pt>
                <c:pt idx="10">
                  <c:v>57</c:v>
                </c:pt>
                <c:pt idx="11">
                  <c:v>85</c:v>
                </c:pt>
                <c:pt idx="12">
                  <c:v>69</c:v>
                </c:pt>
                <c:pt idx="13">
                  <c:v>79</c:v>
                </c:pt>
                <c:pt idx="14">
                  <c:v>86</c:v>
                </c:pt>
                <c:pt idx="15">
                  <c:v>93</c:v>
                </c:pt>
                <c:pt idx="16">
                  <c:v>73</c:v>
                </c:pt>
                <c:pt idx="17">
                  <c:v>79</c:v>
                </c:pt>
                <c:pt idx="18">
                  <c:v>66</c:v>
                </c:pt>
                <c:pt idx="19">
                  <c:v>83</c:v>
                </c:pt>
                <c:pt idx="20">
                  <c:v>75</c:v>
                </c:pt>
                <c:pt idx="21">
                  <c:v>91</c:v>
                </c:pt>
                <c:pt idx="22">
                  <c:v>63</c:v>
                </c:pt>
                <c:pt idx="23">
                  <c:v>81</c:v>
                </c:pt>
                <c:pt idx="24">
                  <c:v>71</c:v>
                </c:pt>
                <c:pt idx="25">
                  <c:v>89</c:v>
                </c:pt>
                <c:pt idx="26">
                  <c:v>69</c:v>
                </c:pt>
                <c:pt idx="27">
                  <c:v>83</c:v>
                </c:pt>
                <c:pt idx="28">
                  <c:v>68</c:v>
                </c:pt>
                <c:pt idx="29">
                  <c:v>93</c:v>
                </c:pt>
              </c:numCache>
            </c:numRef>
          </c:val>
        </c:ser>
        <c:ser>
          <c:idx val="2"/>
          <c:order val="2"/>
          <c:tx>
            <c:strRef>
              <c:f>"Sum of Sub4"</c:f>
              <c:strCache>
                <c:ptCount val="1"/>
                <c:pt idx="0">
                  <c:v>Sum of Sub4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{"S001","S002","S003","S004","S005","S006","S007","S008","S009","S010","S011","S012","S013","S014","S015","S016","S017","S018","S019","S020","S021","S022","S023","S024","S025","S026","S027","S028","S029","S030"}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{80,86,72,80,62,91,82,72,78,85,62,88,71,82,88,95,76,82,70,85,78,94,65,79,74,87,72,85,70,91}</c:f>
              <c:numCache>
                <c:formatCode>General</c:formatCode>
                <c:ptCount val="30"/>
                <c:pt idx="0">
                  <c:v>80</c:v>
                </c:pt>
                <c:pt idx="1">
                  <c:v>86</c:v>
                </c:pt>
                <c:pt idx="2">
                  <c:v>72</c:v>
                </c:pt>
                <c:pt idx="3">
                  <c:v>80</c:v>
                </c:pt>
                <c:pt idx="4">
                  <c:v>62</c:v>
                </c:pt>
                <c:pt idx="5">
                  <c:v>91</c:v>
                </c:pt>
                <c:pt idx="6">
                  <c:v>82</c:v>
                </c:pt>
                <c:pt idx="7">
                  <c:v>72</c:v>
                </c:pt>
                <c:pt idx="8">
                  <c:v>78</c:v>
                </c:pt>
                <c:pt idx="9">
                  <c:v>85</c:v>
                </c:pt>
                <c:pt idx="10">
                  <c:v>62</c:v>
                </c:pt>
                <c:pt idx="11">
                  <c:v>88</c:v>
                </c:pt>
                <c:pt idx="12">
                  <c:v>71</c:v>
                </c:pt>
                <c:pt idx="13">
                  <c:v>82</c:v>
                </c:pt>
                <c:pt idx="14">
                  <c:v>88</c:v>
                </c:pt>
                <c:pt idx="15">
                  <c:v>95</c:v>
                </c:pt>
                <c:pt idx="16">
                  <c:v>76</c:v>
                </c:pt>
                <c:pt idx="17">
                  <c:v>82</c:v>
                </c:pt>
                <c:pt idx="18">
                  <c:v>70</c:v>
                </c:pt>
                <c:pt idx="19">
                  <c:v>85</c:v>
                </c:pt>
                <c:pt idx="20">
                  <c:v>78</c:v>
                </c:pt>
                <c:pt idx="21">
                  <c:v>94</c:v>
                </c:pt>
                <c:pt idx="22">
                  <c:v>65</c:v>
                </c:pt>
                <c:pt idx="23">
                  <c:v>79</c:v>
                </c:pt>
                <c:pt idx="24">
                  <c:v>74</c:v>
                </c:pt>
                <c:pt idx="25">
                  <c:v>87</c:v>
                </c:pt>
                <c:pt idx="26">
                  <c:v>72</c:v>
                </c:pt>
                <c:pt idx="27">
                  <c:v>85</c:v>
                </c:pt>
                <c:pt idx="28">
                  <c:v>70</c:v>
                </c:pt>
                <c:pt idx="29">
                  <c:v>91</c:v>
                </c:pt>
              </c:numCache>
            </c:numRef>
          </c:val>
        </c:ser>
        <c:ser>
          <c:idx val="3"/>
          <c:order val="3"/>
          <c:tx>
            <c:strRef>
              <c:f>"Sum of Sub3"</c:f>
              <c:strCache>
                <c:ptCount val="1"/>
                <c:pt idx="0">
                  <c:v>Sum of Sub3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{"S001","S002","S003","S004","S005","S006","S007","S008","S009","S010","S011","S012","S013","S014","S015","S016","S017","S018","S019","S020","S021","S022","S023","S024","S025","S026","S027","S028","S029","S030"}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{74,84,68,85,58,89,76,66,73,90,58,82,72,75,83,90,70,76,62,80,72,88,58,82,68,90,66,80,63,88}</c:f>
              <c:numCache>
                <c:formatCode>General</c:formatCode>
                <c:ptCount val="30"/>
                <c:pt idx="0">
                  <c:v>74</c:v>
                </c:pt>
                <c:pt idx="1">
                  <c:v>84</c:v>
                </c:pt>
                <c:pt idx="2">
                  <c:v>68</c:v>
                </c:pt>
                <c:pt idx="3">
                  <c:v>85</c:v>
                </c:pt>
                <c:pt idx="4">
                  <c:v>58</c:v>
                </c:pt>
                <c:pt idx="5">
                  <c:v>89</c:v>
                </c:pt>
                <c:pt idx="6">
                  <c:v>76</c:v>
                </c:pt>
                <c:pt idx="7">
                  <c:v>66</c:v>
                </c:pt>
                <c:pt idx="8">
                  <c:v>73</c:v>
                </c:pt>
                <c:pt idx="9">
                  <c:v>90</c:v>
                </c:pt>
                <c:pt idx="10">
                  <c:v>58</c:v>
                </c:pt>
                <c:pt idx="11">
                  <c:v>82</c:v>
                </c:pt>
                <c:pt idx="12">
                  <c:v>72</c:v>
                </c:pt>
                <c:pt idx="13">
                  <c:v>75</c:v>
                </c:pt>
                <c:pt idx="14">
                  <c:v>83</c:v>
                </c:pt>
                <c:pt idx="15">
                  <c:v>90</c:v>
                </c:pt>
                <c:pt idx="16">
                  <c:v>70</c:v>
                </c:pt>
                <c:pt idx="17">
                  <c:v>76</c:v>
                </c:pt>
                <c:pt idx="18">
                  <c:v>62</c:v>
                </c:pt>
                <c:pt idx="19">
                  <c:v>80</c:v>
                </c:pt>
                <c:pt idx="20">
                  <c:v>72</c:v>
                </c:pt>
                <c:pt idx="21">
                  <c:v>88</c:v>
                </c:pt>
                <c:pt idx="22">
                  <c:v>58</c:v>
                </c:pt>
                <c:pt idx="23">
                  <c:v>82</c:v>
                </c:pt>
                <c:pt idx="24">
                  <c:v>68</c:v>
                </c:pt>
                <c:pt idx="25">
                  <c:v>90</c:v>
                </c:pt>
                <c:pt idx="26">
                  <c:v>66</c:v>
                </c:pt>
                <c:pt idx="27">
                  <c:v>80</c:v>
                </c:pt>
                <c:pt idx="28">
                  <c:v>63</c:v>
                </c:pt>
                <c:pt idx="29">
                  <c:v>88</c:v>
                </c:pt>
              </c:numCache>
            </c:numRef>
          </c:val>
        </c:ser>
        <c:ser>
          <c:idx val="4"/>
          <c:order val="4"/>
          <c:tx>
            <c:strRef>
              <c:f>"Sum of Sub2"</c:f>
              <c:strCache>
                <c:ptCount val="1"/>
                <c:pt idx="0">
                  <c:v>Sum of Sub2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{"S001","S002","S003","S004","S005","S006","S007","S008","S009","S010","S011","S012","S013","S014","S015","S016","S017","S018","S019","S020","S021","S022","S023","S024","S025","S026","S027","S028","S029","S030"}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{85,90,70,79,64,92,80,70,77,86,60,86,68,80,87,92,74,80,68,84,76,92,62,78,72,86,70,84,67,92}</c:f>
              <c:numCache>
                <c:formatCode>General</c:formatCode>
                <c:ptCount val="30"/>
                <c:pt idx="0">
                  <c:v>85</c:v>
                </c:pt>
                <c:pt idx="1">
                  <c:v>90</c:v>
                </c:pt>
                <c:pt idx="2">
                  <c:v>70</c:v>
                </c:pt>
                <c:pt idx="3">
                  <c:v>79</c:v>
                </c:pt>
                <c:pt idx="4">
                  <c:v>64</c:v>
                </c:pt>
                <c:pt idx="5">
                  <c:v>92</c:v>
                </c:pt>
                <c:pt idx="6">
                  <c:v>80</c:v>
                </c:pt>
                <c:pt idx="7">
                  <c:v>70</c:v>
                </c:pt>
                <c:pt idx="8">
                  <c:v>77</c:v>
                </c:pt>
                <c:pt idx="9">
                  <c:v>86</c:v>
                </c:pt>
                <c:pt idx="10">
                  <c:v>60</c:v>
                </c:pt>
                <c:pt idx="11">
                  <c:v>86</c:v>
                </c:pt>
                <c:pt idx="12">
                  <c:v>68</c:v>
                </c:pt>
                <c:pt idx="13">
                  <c:v>80</c:v>
                </c:pt>
                <c:pt idx="14">
                  <c:v>87</c:v>
                </c:pt>
                <c:pt idx="15">
                  <c:v>92</c:v>
                </c:pt>
                <c:pt idx="16">
                  <c:v>74</c:v>
                </c:pt>
                <c:pt idx="17">
                  <c:v>80</c:v>
                </c:pt>
                <c:pt idx="18">
                  <c:v>68</c:v>
                </c:pt>
                <c:pt idx="19">
                  <c:v>84</c:v>
                </c:pt>
                <c:pt idx="20">
                  <c:v>76</c:v>
                </c:pt>
                <c:pt idx="21">
                  <c:v>92</c:v>
                </c:pt>
                <c:pt idx="22">
                  <c:v>62</c:v>
                </c:pt>
                <c:pt idx="23">
                  <c:v>78</c:v>
                </c:pt>
                <c:pt idx="24">
                  <c:v>72</c:v>
                </c:pt>
                <c:pt idx="25">
                  <c:v>86</c:v>
                </c:pt>
                <c:pt idx="26">
                  <c:v>70</c:v>
                </c:pt>
                <c:pt idx="27">
                  <c:v>84</c:v>
                </c:pt>
                <c:pt idx="28">
                  <c:v>67</c:v>
                </c:pt>
                <c:pt idx="29">
                  <c:v>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86835452"/>
        <c:axId val="548401979"/>
      </c:barChart>
      <c:catAx>
        <c:axId val="2868354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8401979"/>
        <c:crosses val="autoZero"/>
        <c:auto val="1"/>
        <c:lblAlgn val="ctr"/>
        <c:lblOffset val="100"/>
        <c:noMultiLvlLbl val="0"/>
      </c:catAx>
      <c:valAx>
        <c:axId val="5484019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68354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6629df-7a4e-47b9-bb6c-75c18b870396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[Student_Data_30_Rows.xlsx]Sheet1!PivotTable6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Sheet1!$Z$5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Sheet1!$Y$6:$Y$36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Sheet1!$Z$6:$Z$36</c:f>
              <c:numCache>
                <c:formatCode>General</c:formatCode>
                <c:ptCount val="30"/>
                <c:pt idx="0">
                  <c:v>405</c:v>
                </c:pt>
                <c:pt idx="1">
                  <c:v>440</c:v>
                </c:pt>
                <c:pt idx="2">
                  <c:v>350</c:v>
                </c:pt>
                <c:pt idx="3">
                  <c:v>404</c:v>
                </c:pt>
                <c:pt idx="4">
                  <c:v>310</c:v>
                </c:pt>
                <c:pt idx="5">
                  <c:v>456</c:v>
                </c:pt>
                <c:pt idx="6">
                  <c:v>400</c:v>
                </c:pt>
                <c:pt idx="7">
                  <c:v>345</c:v>
                </c:pt>
                <c:pt idx="8">
                  <c:v>379</c:v>
                </c:pt>
                <c:pt idx="9">
                  <c:v>438</c:v>
                </c:pt>
                <c:pt idx="10">
                  <c:v>292</c:v>
                </c:pt>
                <c:pt idx="11">
                  <c:v>425</c:v>
                </c:pt>
                <c:pt idx="12">
                  <c:v>350</c:v>
                </c:pt>
                <c:pt idx="13">
                  <c:v>394</c:v>
                </c:pt>
                <c:pt idx="14">
                  <c:v>429</c:v>
                </c:pt>
                <c:pt idx="15">
                  <c:v>464</c:v>
                </c:pt>
                <c:pt idx="16">
                  <c:v>365</c:v>
                </c:pt>
                <c:pt idx="17">
                  <c:v>395</c:v>
                </c:pt>
                <c:pt idx="18">
                  <c:v>331</c:v>
                </c:pt>
                <c:pt idx="19">
                  <c:v>414</c:v>
                </c:pt>
                <c:pt idx="20">
                  <c:v>375</c:v>
                </c:pt>
                <c:pt idx="21">
                  <c:v>455</c:v>
                </c:pt>
                <c:pt idx="22">
                  <c:v>308</c:v>
                </c:pt>
                <c:pt idx="23">
                  <c:v>400</c:v>
                </c:pt>
                <c:pt idx="24">
                  <c:v>355</c:v>
                </c:pt>
                <c:pt idx="25">
                  <c:v>440</c:v>
                </c:pt>
                <c:pt idx="26">
                  <c:v>345</c:v>
                </c:pt>
                <c:pt idx="27">
                  <c:v>414</c:v>
                </c:pt>
                <c:pt idx="28">
                  <c:v>333</c:v>
                </c:pt>
                <c:pt idx="29">
                  <c:v>454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83321998"/>
        <c:axId val="185414944"/>
      </c:barChart>
      <c:catAx>
        <c:axId val="78332199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414944"/>
        <c:crosses val="autoZero"/>
        <c:auto val="1"/>
        <c:lblAlgn val="ctr"/>
        <c:lblOffset val="100"/>
        <c:noMultiLvlLbl val="0"/>
      </c:catAx>
      <c:valAx>
        <c:axId val="185414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32199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4d8ee42-015a-4334-bdd9-ec8c1ed9698e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[Student_Data_30_Rows.xlsx]Sheet1!PivotTable7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Sheet1!$S$6</c:f>
              <c:strCache>
                <c:ptCount val="1"/>
                <c:pt idx="0">
                  <c:v>Sum of Sub1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Sheet1!$S$7:$S$37</c:f>
              <c:numCache>
                <c:formatCode>General</c:formatCode>
                <c:ptCount val="30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82</c:v>
                </c:pt>
                <c:pt idx="4">
                  <c:v>60</c:v>
                </c:pt>
                <c:pt idx="5">
                  <c:v>90</c:v>
                </c:pt>
                <c:pt idx="6">
                  <c:v>78</c:v>
                </c:pt>
                <c:pt idx="7">
                  <c:v>68</c:v>
                </c:pt>
                <c:pt idx="8">
                  <c:v>75</c:v>
                </c:pt>
                <c:pt idx="9">
                  <c:v>88</c:v>
                </c:pt>
                <c:pt idx="10">
                  <c:v>55</c:v>
                </c:pt>
                <c:pt idx="11">
                  <c:v>84</c:v>
                </c:pt>
                <c:pt idx="12">
                  <c:v>70</c:v>
                </c:pt>
                <c:pt idx="13">
                  <c:v>78</c:v>
                </c:pt>
                <c:pt idx="14">
                  <c:v>85</c:v>
                </c:pt>
                <c:pt idx="15">
                  <c:v>94</c:v>
                </c:pt>
                <c:pt idx="16">
                  <c:v>72</c:v>
                </c:pt>
                <c:pt idx="17">
                  <c:v>78</c:v>
                </c:pt>
                <c:pt idx="18">
                  <c:v>65</c:v>
                </c:pt>
                <c:pt idx="19">
                  <c:v>82</c:v>
                </c:pt>
                <c:pt idx="20">
                  <c:v>74</c:v>
                </c:pt>
                <c:pt idx="21">
                  <c:v>90</c:v>
                </c:pt>
                <c:pt idx="22">
                  <c:v>60</c:v>
                </c:pt>
                <c:pt idx="23">
                  <c:v>80</c:v>
                </c:pt>
                <c:pt idx="24">
                  <c:v>70</c:v>
                </c:pt>
                <c:pt idx="25">
                  <c:v>88</c:v>
                </c:pt>
                <c:pt idx="26">
                  <c:v>68</c:v>
                </c:pt>
                <c:pt idx="27">
                  <c:v>82</c:v>
                </c:pt>
                <c:pt idx="28">
                  <c:v>65</c:v>
                </c:pt>
                <c:pt idx="29">
                  <c:v>90</c:v>
                </c:pt>
              </c:numCache>
            </c:numRef>
          </c:val>
        </c:ser>
        <c:ser>
          <c:idx val="1"/>
          <c:order val="1"/>
          <c:tx>
            <c:strRef>
              <c:f>Sheet1!$T$6</c:f>
              <c:strCache>
                <c:ptCount val="1"/>
                <c:pt idx="0">
                  <c:v>Sum of Sub2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Sheet1!$T$7:$T$37</c:f>
              <c:numCache>
                <c:formatCode>General</c:formatCode>
                <c:ptCount val="30"/>
                <c:pt idx="0">
                  <c:v>85</c:v>
                </c:pt>
                <c:pt idx="1">
                  <c:v>90</c:v>
                </c:pt>
                <c:pt idx="2">
                  <c:v>70</c:v>
                </c:pt>
                <c:pt idx="3">
                  <c:v>79</c:v>
                </c:pt>
                <c:pt idx="4">
                  <c:v>64</c:v>
                </c:pt>
                <c:pt idx="5">
                  <c:v>92</c:v>
                </c:pt>
                <c:pt idx="6">
                  <c:v>80</c:v>
                </c:pt>
                <c:pt idx="7">
                  <c:v>70</c:v>
                </c:pt>
                <c:pt idx="8">
                  <c:v>77</c:v>
                </c:pt>
                <c:pt idx="9">
                  <c:v>86</c:v>
                </c:pt>
                <c:pt idx="10">
                  <c:v>60</c:v>
                </c:pt>
                <c:pt idx="11">
                  <c:v>86</c:v>
                </c:pt>
                <c:pt idx="12">
                  <c:v>68</c:v>
                </c:pt>
                <c:pt idx="13">
                  <c:v>80</c:v>
                </c:pt>
                <c:pt idx="14">
                  <c:v>87</c:v>
                </c:pt>
                <c:pt idx="15">
                  <c:v>92</c:v>
                </c:pt>
                <c:pt idx="16">
                  <c:v>74</c:v>
                </c:pt>
                <c:pt idx="17">
                  <c:v>80</c:v>
                </c:pt>
                <c:pt idx="18">
                  <c:v>68</c:v>
                </c:pt>
                <c:pt idx="19">
                  <c:v>84</c:v>
                </c:pt>
                <c:pt idx="20">
                  <c:v>76</c:v>
                </c:pt>
                <c:pt idx="21">
                  <c:v>92</c:v>
                </c:pt>
                <c:pt idx="22">
                  <c:v>62</c:v>
                </c:pt>
                <c:pt idx="23">
                  <c:v>78</c:v>
                </c:pt>
                <c:pt idx="24">
                  <c:v>72</c:v>
                </c:pt>
                <c:pt idx="25">
                  <c:v>86</c:v>
                </c:pt>
                <c:pt idx="26">
                  <c:v>70</c:v>
                </c:pt>
                <c:pt idx="27">
                  <c:v>84</c:v>
                </c:pt>
                <c:pt idx="28">
                  <c:v>67</c:v>
                </c:pt>
                <c:pt idx="29">
                  <c:v>92</c:v>
                </c:pt>
              </c:numCache>
            </c:numRef>
          </c:val>
        </c:ser>
        <c:ser>
          <c:idx val="2"/>
          <c:order val="2"/>
          <c:tx>
            <c:strRef>
              <c:f>Sheet1!$U$6</c:f>
              <c:strCache>
                <c:ptCount val="1"/>
                <c:pt idx="0">
                  <c:v>Sum of Sub3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Sheet1!$U$7:$U$37</c:f>
              <c:numCache>
                <c:formatCode>General</c:formatCode>
                <c:ptCount val="30"/>
                <c:pt idx="0">
                  <c:v>74</c:v>
                </c:pt>
                <c:pt idx="1">
                  <c:v>84</c:v>
                </c:pt>
                <c:pt idx="2">
                  <c:v>68</c:v>
                </c:pt>
                <c:pt idx="3">
                  <c:v>85</c:v>
                </c:pt>
                <c:pt idx="4">
                  <c:v>58</c:v>
                </c:pt>
                <c:pt idx="5">
                  <c:v>89</c:v>
                </c:pt>
                <c:pt idx="6">
                  <c:v>76</c:v>
                </c:pt>
                <c:pt idx="7">
                  <c:v>66</c:v>
                </c:pt>
                <c:pt idx="8">
                  <c:v>73</c:v>
                </c:pt>
                <c:pt idx="9">
                  <c:v>90</c:v>
                </c:pt>
                <c:pt idx="10">
                  <c:v>58</c:v>
                </c:pt>
                <c:pt idx="11">
                  <c:v>82</c:v>
                </c:pt>
                <c:pt idx="12">
                  <c:v>72</c:v>
                </c:pt>
                <c:pt idx="13">
                  <c:v>75</c:v>
                </c:pt>
                <c:pt idx="14">
                  <c:v>83</c:v>
                </c:pt>
                <c:pt idx="15">
                  <c:v>90</c:v>
                </c:pt>
                <c:pt idx="16">
                  <c:v>70</c:v>
                </c:pt>
                <c:pt idx="17">
                  <c:v>76</c:v>
                </c:pt>
                <c:pt idx="18">
                  <c:v>62</c:v>
                </c:pt>
                <c:pt idx="19">
                  <c:v>80</c:v>
                </c:pt>
                <c:pt idx="20">
                  <c:v>72</c:v>
                </c:pt>
                <c:pt idx="21">
                  <c:v>88</c:v>
                </c:pt>
                <c:pt idx="22">
                  <c:v>58</c:v>
                </c:pt>
                <c:pt idx="23">
                  <c:v>82</c:v>
                </c:pt>
                <c:pt idx="24">
                  <c:v>68</c:v>
                </c:pt>
                <c:pt idx="25">
                  <c:v>90</c:v>
                </c:pt>
                <c:pt idx="26">
                  <c:v>66</c:v>
                </c:pt>
                <c:pt idx="27">
                  <c:v>80</c:v>
                </c:pt>
                <c:pt idx="28">
                  <c:v>63</c:v>
                </c:pt>
                <c:pt idx="29">
                  <c:v>88</c:v>
                </c:pt>
              </c:numCache>
            </c:numRef>
          </c:val>
        </c:ser>
        <c:ser>
          <c:idx val="3"/>
          <c:order val="3"/>
          <c:tx>
            <c:strRef>
              <c:f>Sheet1!$V$6</c:f>
              <c:strCache>
                <c:ptCount val="1"/>
                <c:pt idx="0">
                  <c:v>Sum of Sub4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Sheet1!$V$7:$V$37</c:f>
              <c:numCache>
                <c:formatCode>General</c:formatCode>
                <c:ptCount val="30"/>
                <c:pt idx="0">
                  <c:v>80</c:v>
                </c:pt>
                <c:pt idx="1">
                  <c:v>86</c:v>
                </c:pt>
                <c:pt idx="2">
                  <c:v>72</c:v>
                </c:pt>
                <c:pt idx="3">
                  <c:v>80</c:v>
                </c:pt>
                <c:pt idx="4">
                  <c:v>62</c:v>
                </c:pt>
                <c:pt idx="5">
                  <c:v>91</c:v>
                </c:pt>
                <c:pt idx="6">
                  <c:v>82</c:v>
                </c:pt>
                <c:pt idx="7">
                  <c:v>72</c:v>
                </c:pt>
                <c:pt idx="8">
                  <c:v>78</c:v>
                </c:pt>
                <c:pt idx="9">
                  <c:v>85</c:v>
                </c:pt>
                <c:pt idx="10">
                  <c:v>62</c:v>
                </c:pt>
                <c:pt idx="11">
                  <c:v>88</c:v>
                </c:pt>
                <c:pt idx="12">
                  <c:v>71</c:v>
                </c:pt>
                <c:pt idx="13">
                  <c:v>82</c:v>
                </c:pt>
                <c:pt idx="14">
                  <c:v>88</c:v>
                </c:pt>
                <c:pt idx="15">
                  <c:v>95</c:v>
                </c:pt>
                <c:pt idx="16">
                  <c:v>76</c:v>
                </c:pt>
                <c:pt idx="17">
                  <c:v>82</c:v>
                </c:pt>
                <c:pt idx="18">
                  <c:v>70</c:v>
                </c:pt>
                <c:pt idx="19">
                  <c:v>85</c:v>
                </c:pt>
                <c:pt idx="20">
                  <c:v>78</c:v>
                </c:pt>
                <c:pt idx="21">
                  <c:v>94</c:v>
                </c:pt>
                <c:pt idx="22">
                  <c:v>65</c:v>
                </c:pt>
                <c:pt idx="23">
                  <c:v>79</c:v>
                </c:pt>
                <c:pt idx="24">
                  <c:v>74</c:v>
                </c:pt>
                <c:pt idx="25">
                  <c:v>87</c:v>
                </c:pt>
                <c:pt idx="26">
                  <c:v>72</c:v>
                </c:pt>
                <c:pt idx="27">
                  <c:v>85</c:v>
                </c:pt>
                <c:pt idx="28">
                  <c:v>70</c:v>
                </c:pt>
                <c:pt idx="29">
                  <c:v>91</c:v>
                </c:pt>
              </c:numCache>
            </c:numRef>
          </c:val>
        </c:ser>
        <c:ser>
          <c:idx val="4"/>
          <c:order val="4"/>
          <c:tx>
            <c:strRef>
              <c:f>Sheet1!$W$6</c:f>
              <c:strCache>
                <c:ptCount val="1"/>
                <c:pt idx="0">
                  <c:v>Sum of Sub5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Sheet1!$W$7:$W$37</c:f>
              <c:numCache>
                <c:formatCode>General</c:formatCode>
                <c:ptCount val="30"/>
                <c:pt idx="0">
                  <c:v>88</c:v>
                </c:pt>
                <c:pt idx="1">
                  <c:v>92</c:v>
                </c:pt>
                <c:pt idx="2">
                  <c:v>75</c:v>
                </c:pt>
                <c:pt idx="3">
                  <c:v>78</c:v>
                </c:pt>
                <c:pt idx="4">
                  <c:v>66</c:v>
                </c:pt>
                <c:pt idx="5">
                  <c:v>94</c:v>
                </c:pt>
                <c:pt idx="6">
                  <c:v>84</c:v>
                </c:pt>
                <c:pt idx="7">
                  <c:v>69</c:v>
                </c:pt>
                <c:pt idx="8">
                  <c:v>76</c:v>
                </c:pt>
                <c:pt idx="9">
                  <c:v>89</c:v>
                </c:pt>
                <c:pt idx="10">
                  <c:v>57</c:v>
                </c:pt>
                <c:pt idx="11">
                  <c:v>85</c:v>
                </c:pt>
                <c:pt idx="12">
                  <c:v>69</c:v>
                </c:pt>
                <c:pt idx="13">
                  <c:v>79</c:v>
                </c:pt>
                <c:pt idx="14">
                  <c:v>86</c:v>
                </c:pt>
                <c:pt idx="15">
                  <c:v>93</c:v>
                </c:pt>
                <c:pt idx="16">
                  <c:v>73</c:v>
                </c:pt>
                <c:pt idx="17">
                  <c:v>79</c:v>
                </c:pt>
                <c:pt idx="18">
                  <c:v>66</c:v>
                </c:pt>
                <c:pt idx="19">
                  <c:v>83</c:v>
                </c:pt>
                <c:pt idx="20">
                  <c:v>75</c:v>
                </c:pt>
                <c:pt idx="21">
                  <c:v>91</c:v>
                </c:pt>
                <c:pt idx="22">
                  <c:v>63</c:v>
                </c:pt>
                <c:pt idx="23">
                  <c:v>81</c:v>
                </c:pt>
                <c:pt idx="24">
                  <c:v>71</c:v>
                </c:pt>
                <c:pt idx="25">
                  <c:v>89</c:v>
                </c:pt>
                <c:pt idx="26">
                  <c:v>69</c:v>
                </c:pt>
                <c:pt idx="27">
                  <c:v>83</c:v>
                </c:pt>
                <c:pt idx="28">
                  <c:v>68</c:v>
                </c:pt>
                <c:pt idx="29">
                  <c:v>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05129578"/>
        <c:axId val="107563706"/>
      </c:barChart>
      <c:catAx>
        <c:axId val="5051295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563706"/>
        <c:crosses val="autoZero"/>
        <c:auto val="1"/>
        <c:lblAlgn val="ctr"/>
        <c:lblOffset val="100"/>
        <c:noMultiLvlLbl val="0"/>
      </c:catAx>
      <c:valAx>
        <c:axId val="10756370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1295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c42603-f829-44c9-a64f-ce671459b3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[Student_Data_30_Rows.xlsx]Sheet3!PivotTable1</c:name>
    <c:fmtId val="6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6353637736765"/>
                  <c:y val="0.028372041776037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730222142166831"/>
                  <c:y val="-0.14831741762624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93826746775638"/>
                  <c:y val="-0.098794634675744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36214201435498"/>
                  <c:y val="-0.075198022465943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695391280792372"/>
                  <c:y val="-0.092990815212566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CE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ME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8</c:v>
                </c:pt>
                <c:pt idx="1">
                  <c:v>8.1</c:v>
                </c:pt>
                <c:pt idx="2">
                  <c:v>8.10666666666667</c:v>
                </c:pt>
                <c:pt idx="3">
                  <c:v>7.248</c:v>
                </c:pt>
                <c:pt idx="4">
                  <c:v>7.47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55c971-78dd-43c4-a679-08c2a9413812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[Student_Data_30_Rows.xlsx]Sheet1!PivotTable2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Sheet1!$O$12</c:f>
              <c:strCache>
                <c:ptCount val="1"/>
                <c:pt idx="0">
                  <c:v>Sum of GPA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Sheet1!$N$13:$N$43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Sheet1!$O$13:$O$43</c:f>
              <c:numCache>
                <c:formatCode>General</c:formatCode>
                <c:ptCount val="30"/>
                <c:pt idx="0">
                  <c:v>8.1</c:v>
                </c:pt>
                <c:pt idx="1">
                  <c:v>8.8</c:v>
                </c:pt>
                <c:pt idx="2">
                  <c:v>7</c:v>
                </c:pt>
                <c:pt idx="3">
                  <c:v>8.08</c:v>
                </c:pt>
                <c:pt idx="4">
                  <c:v>6.2</c:v>
                </c:pt>
                <c:pt idx="5">
                  <c:v>9.12</c:v>
                </c:pt>
                <c:pt idx="6">
                  <c:v>8</c:v>
                </c:pt>
                <c:pt idx="7">
                  <c:v>6.9</c:v>
                </c:pt>
                <c:pt idx="8">
                  <c:v>7.58</c:v>
                </c:pt>
                <c:pt idx="9">
                  <c:v>8.76</c:v>
                </c:pt>
                <c:pt idx="10">
                  <c:v>5.84</c:v>
                </c:pt>
                <c:pt idx="11">
                  <c:v>8.5</c:v>
                </c:pt>
                <c:pt idx="12">
                  <c:v>7</c:v>
                </c:pt>
                <c:pt idx="13">
                  <c:v>7.88</c:v>
                </c:pt>
                <c:pt idx="14">
                  <c:v>8.58</c:v>
                </c:pt>
                <c:pt idx="15">
                  <c:v>9.28</c:v>
                </c:pt>
                <c:pt idx="16">
                  <c:v>7.3</c:v>
                </c:pt>
                <c:pt idx="17">
                  <c:v>7.9</c:v>
                </c:pt>
                <c:pt idx="18">
                  <c:v>6.62</c:v>
                </c:pt>
                <c:pt idx="19">
                  <c:v>8.28</c:v>
                </c:pt>
                <c:pt idx="20">
                  <c:v>7.5</c:v>
                </c:pt>
                <c:pt idx="21">
                  <c:v>9.1</c:v>
                </c:pt>
                <c:pt idx="22">
                  <c:v>6.16</c:v>
                </c:pt>
                <c:pt idx="23">
                  <c:v>8</c:v>
                </c:pt>
                <c:pt idx="24">
                  <c:v>7.1</c:v>
                </c:pt>
                <c:pt idx="25">
                  <c:v>8.8</c:v>
                </c:pt>
                <c:pt idx="26">
                  <c:v>6.9</c:v>
                </c:pt>
                <c:pt idx="27">
                  <c:v>8.28</c:v>
                </c:pt>
                <c:pt idx="28">
                  <c:v>6.66</c:v>
                </c:pt>
                <c:pt idx="29">
                  <c:v>9.08</c:v>
                </c:pt>
              </c:numCache>
            </c:numRef>
          </c:val>
        </c:ser>
        <c:ser>
          <c:idx val="1"/>
          <c:order val="1"/>
          <c:tx>
            <c:strRef>
              <c:f>Sheet1!$P$12</c:f>
              <c:strCache>
                <c:ptCount val="1"/>
                <c:pt idx="0">
                  <c:v>Sum of Attendance %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2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Sheet1!$N$13:$N$43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Sheet1!$P$13:$P$43</c:f>
              <c:numCache>
                <c:formatCode>General</c:formatCode>
                <c:ptCount val="30"/>
                <c:pt idx="0">
                  <c:v>82</c:v>
                </c:pt>
                <c:pt idx="1">
                  <c:v>91</c:v>
                </c:pt>
                <c:pt idx="2">
                  <c:v>76</c:v>
                </c:pt>
                <c:pt idx="3">
                  <c:v>88</c:v>
                </c:pt>
                <c:pt idx="4">
                  <c:v>69</c:v>
                </c:pt>
                <c:pt idx="5">
                  <c:v>95</c:v>
                </c:pt>
                <c:pt idx="6">
                  <c:v>85</c:v>
                </c:pt>
                <c:pt idx="7">
                  <c:v>73</c:v>
                </c:pt>
                <c:pt idx="8">
                  <c:v>80</c:v>
                </c:pt>
                <c:pt idx="9">
                  <c:v>92</c:v>
                </c:pt>
                <c:pt idx="10">
                  <c:v>67</c:v>
                </c:pt>
                <c:pt idx="11">
                  <c:v>89</c:v>
                </c:pt>
                <c:pt idx="12">
                  <c:v>74</c:v>
                </c:pt>
                <c:pt idx="13">
                  <c:v>81</c:v>
                </c:pt>
                <c:pt idx="14">
                  <c:v>90</c:v>
                </c:pt>
                <c:pt idx="15">
                  <c:v>96</c:v>
                </c:pt>
                <c:pt idx="16">
                  <c:v>78</c:v>
                </c:pt>
                <c:pt idx="17">
                  <c:v>83</c:v>
                </c:pt>
                <c:pt idx="18">
                  <c:v>71</c:v>
                </c:pt>
                <c:pt idx="19">
                  <c:v>87</c:v>
                </c:pt>
                <c:pt idx="20">
                  <c:v>79</c:v>
                </c:pt>
                <c:pt idx="21">
                  <c:v>93</c:v>
                </c:pt>
                <c:pt idx="22">
                  <c:v>68</c:v>
                </c:pt>
                <c:pt idx="23">
                  <c:v>84</c:v>
                </c:pt>
                <c:pt idx="24">
                  <c:v>77</c:v>
                </c:pt>
                <c:pt idx="25">
                  <c:v>91</c:v>
                </c:pt>
                <c:pt idx="26">
                  <c:v>75</c:v>
                </c:pt>
                <c:pt idx="27">
                  <c:v>86</c:v>
                </c:pt>
                <c:pt idx="28">
                  <c:v>72</c:v>
                </c:pt>
                <c:pt idx="29">
                  <c:v>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8252656"/>
        <c:axId val="819301511"/>
      </c:barChart>
      <c:catAx>
        <c:axId val="9582526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819301511"/>
        <c:crosses val="autoZero"/>
        <c:auto val="1"/>
        <c:lblAlgn val="ctr"/>
        <c:lblOffset val="100"/>
        <c:noMultiLvlLbl val="0"/>
      </c:catAx>
      <c:valAx>
        <c:axId val="819301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95825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618d46-771f-47e4-96b0-34e19d4a3ab2}"/>
      </c:ext>
    </c:extLst>
  </c:chart>
  <c:spPr>
    <a:gradFill rotWithShape="1">
      <a:gsLst>
        <a:gs pos="0">
          <a:schemeClr val="accent3">
            <a:shade val="51000"/>
            <a:satMod val="130000"/>
          </a:schemeClr>
        </a:gs>
        <a:gs pos="80000">
          <a:schemeClr val="accent3">
            <a:shade val="93000"/>
            <a:satMod val="130000"/>
          </a:schemeClr>
        </a:gs>
        <a:gs pos="100000">
          <a:schemeClr val="accent3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[Student_Data_30_Rows.xlsx]Sheet1!PivotTable6</c:name>
    <c:fmtId val="4"/>
  </c:pivotSource>
  <c:chart>
    <c:autoTitleDeleted val="1"/>
    <c:plotArea>
      <c:layout>
        <c:manualLayout>
          <c:layoutTarget val="inner"/>
          <c:xMode val="edge"/>
          <c:yMode val="edge"/>
          <c:x val="0.131840381179273"/>
          <c:y val="0.0906595597022538"/>
          <c:w val="0.857081596188207"/>
          <c:h val="0.8800266494916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Sheet1!$Z$5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2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Sheet1!$Y$6:$Y$36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Sheet1!$Z$6:$Z$36</c:f>
              <c:numCache>
                <c:formatCode>General</c:formatCode>
                <c:ptCount val="30"/>
                <c:pt idx="0">
                  <c:v>405</c:v>
                </c:pt>
                <c:pt idx="1">
                  <c:v>440</c:v>
                </c:pt>
                <c:pt idx="2">
                  <c:v>350</c:v>
                </c:pt>
                <c:pt idx="3">
                  <c:v>404</c:v>
                </c:pt>
                <c:pt idx="4">
                  <c:v>310</c:v>
                </c:pt>
                <c:pt idx="5">
                  <c:v>456</c:v>
                </c:pt>
                <c:pt idx="6">
                  <c:v>400</c:v>
                </c:pt>
                <c:pt idx="7">
                  <c:v>345</c:v>
                </c:pt>
                <c:pt idx="8">
                  <c:v>379</c:v>
                </c:pt>
                <c:pt idx="9">
                  <c:v>438</c:v>
                </c:pt>
                <c:pt idx="10">
                  <c:v>292</c:v>
                </c:pt>
                <c:pt idx="11">
                  <c:v>425</c:v>
                </c:pt>
                <c:pt idx="12">
                  <c:v>350</c:v>
                </c:pt>
                <c:pt idx="13">
                  <c:v>394</c:v>
                </c:pt>
                <c:pt idx="14">
                  <c:v>429</c:v>
                </c:pt>
                <c:pt idx="15">
                  <c:v>464</c:v>
                </c:pt>
                <c:pt idx="16">
                  <c:v>365</c:v>
                </c:pt>
                <c:pt idx="17">
                  <c:v>395</c:v>
                </c:pt>
                <c:pt idx="18">
                  <c:v>331</c:v>
                </c:pt>
                <c:pt idx="19">
                  <c:v>414</c:v>
                </c:pt>
                <c:pt idx="20">
                  <c:v>375</c:v>
                </c:pt>
                <c:pt idx="21">
                  <c:v>455</c:v>
                </c:pt>
                <c:pt idx="22">
                  <c:v>308</c:v>
                </c:pt>
                <c:pt idx="23">
                  <c:v>400</c:v>
                </c:pt>
                <c:pt idx="24">
                  <c:v>355</c:v>
                </c:pt>
                <c:pt idx="25">
                  <c:v>440</c:v>
                </c:pt>
                <c:pt idx="26">
                  <c:v>345</c:v>
                </c:pt>
                <c:pt idx="27">
                  <c:v>414</c:v>
                </c:pt>
                <c:pt idx="28">
                  <c:v>333</c:v>
                </c:pt>
                <c:pt idx="29">
                  <c:v>454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83321998"/>
        <c:axId val="185414944"/>
      </c:barChart>
      <c:catAx>
        <c:axId val="78332199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85414944"/>
        <c:crosses val="autoZero"/>
        <c:auto val="1"/>
        <c:lblAlgn val="ctr"/>
        <c:lblOffset val="100"/>
        <c:noMultiLvlLbl val="0"/>
      </c:catAx>
      <c:valAx>
        <c:axId val="185414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7833219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922957384495846"/>
          <c:y val="0.242495126705653"/>
          <c:w val="0.0698703006395314"/>
          <c:h val="0.21442495126705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8c1e9d-df24-4f55-a974-e99d64541734}"/>
      </c:ext>
    </c:extLst>
  </c:chart>
  <c:spPr>
    <a:solidFill>
      <a:schemeClr val="accent3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50800"/>
    </a:effectLst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GB" sz="1600" b="1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[Student_Data_30_Rows.xlsx]Sheet1!PivotTable7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Sheet1!$S$6</c:f>
              <c:strCache>
                <c:ptCount val="1"/>
                <c:pt idx="0">
                  <c:v>Sum of Sub1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Sheet1!$S$7:$S$37</c:f>
              <c:numCache>
                <c:formatCode>General</c:formatCode>
                <c:ptCount val="30"/>
                <c:pt idx="0">
                  <c:v>78</c:v>
                </c:pt>
                <c:pt idx="1">
                  <c:v>88</c:v>
                </c:pt>
                <c:pt idx="2">
                  <c:v>65</c:v>
                </c:pt>
                <c:pt idx="3">
                  <c:v>82</c:v>
                </c:pt>
                <c:pt idx="4">
                  <c:v>60</c:v>
                </c:pt>
                <c:pt idx="5">
                  <c:v>90</c:v>
                </c:pt>
                <c:pt idx="6">
                  <c:v>78</c:v>
                </c:pt>
                <c:pt idx="7">
                  <c:v>68</c:v>
                </c:pt>
                <c:pt idx="8">
                  <c:v>75</c:v>
                </c:pt>
                <c:pt idx="9">
                  <c:v>88</c:v>
                </c:pt>
                <c:pt idx="10">
                  <c:v>55</c:v>
                </c:pt>
                <c:pt idx="11">
                  <c:v>84</c:v>
                </c:pt>
                <c:pt idx="12">
                  <c:v>70</c:v>
                </c:pt>
                <c:pt idx="13">
                  <c:v>78</c:v>
                </c:pt>
                <c:pt idx="14">
                  <c:v>85</c:v>
                </c:pt>
                <c:pt idx="15">
                  <c:v>94</c:v>
                </c:pt>
                <c:pt idx="16">
                  <c:v>72</c:v>
                </c:pt>
                <c:pt idx="17">
                  <c:v>78</c:v>
                </c:pt>
                <c:pt idx="18">
                  <c:v>65</c:v>
                </c:pt>
                <c:pt idx="19">
                  <c:v>82</c:v>
                </c:pt>
                <c:pt idx="20">
                  <c:v>74</c:v>
                </c:pt>
                <c:pt idx="21">
                  <c:v>90</c:v>
                </c:pt>
                <c:pt idx="22">
                  <c:v>60</c:v>
                </c:pt>
                <c:pt idx="23">
                  <c:v>80</c:v>
                </c:pt>
                <c:pt idx="24">
                  <c:v>70</c:v>
                </c:pt>
                <c:pt idx="25">
                  <c:v>88</c:v>
                </c:pt>
                <c:pt idx="26">
                  <c:v>68</c:v>
                </c:pt>
                <c:pt idx="27">
                  <c:v>82</c:v>
                </c:pt>
                <c:pt idx="28">
                  <c:v>65</c:v>
                </c:pt>
                <c:pt idx="29">
                  <c:v>90</c:v>
                </c:pt>
              </c:numCache>
            </c:numRef>
          </c:val>
        </c:ser>
        <c:ser>
          <c:idx val="1"/>
          <c:order val="1"/>
          <c:tx>
            <c:strRef>
              <c:f>Sheet1!$T$6</c:f>
              <c:strCache>
                <c:ptCount val="1"/>
                <c:pt idx="0">
                  <c:v>Sum of Sub2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Sheet1!$T$7:$T$37</c:f>
              <c:numCache>
                <c:formatCode>General</c:formatCode>
                <c:ptCount val="30"/>
                <c:pt idx="0">
                  <c:v>85</c:v>
                </c:pt>
                <c:pt idx="1">
                  <c:v>90</c:v>
                </c:pt>
                <c:pt idx="2">
                  <c:v>70</c:v>
                </c:pt>
                <c:pt idx="3">
                  <c:v>79</c:v>
                </c:pt>
                <c:pt idx="4">
                  <c:v>64</c:v>
                </c:pt>
                <c:pt idx="5">
                  <c:v>92</c:v>
                </c:pt>
                <c:pt idx="6">
                  <c:v>80</c:v>
                </c:pt>
                <c:pt idx="7">
                  <c:v>70</c:v>
                </c:pt>
                <c:pt idx="8">
                  <c:v>77</c:v>
                </c:pt>
                <c:pt idx="9">
                  <c:v>86</c:v>
                </c:pt>
                <c:pt idx="10">
                  <c:v>60</c:v>
                </c:pt>
                <c:pt idx="11">
                  <c:v>86</c:v>
                </c:pt>
                <c:pt idx="12">
                  <c:v>68</c:v>
                </c:pt>
                <c:pt idx="13">
                  <c:v>80</c:v>
                </c:pt>
                <c:pt idx="14">
                  <c:v>87</c:v>
                </c:pt>
                <c:pt idx="15">
                  <c:v>92</c:v>
                </c:pt>
                <c:pt idx="16">
                  <c:v>74</c:v>
                </c:pt>
                <c:pt idx="17">
                  <c:v>80</c:v>
                </c:pt>
                <c:pt idx="18">
                  <c:v>68</c:v>
                </c:pt>
                <c:pt idx="19">
                  <c:v>84</c:v>
                </c:pt>
                <c:pt idx="20">
                  <c:v>76</c:v>
                </c:pt>
                <c:pt idx="21">
                  <c:v>92</c:v>
                </c:pt>
                <c:pt idx="22">
                  <c:v>62</c:v>
                </c:pt>
                <c:pt idx="23">
                  <c:v>78</c:v>
                </c:pt>
                <c:pt idx="24">
                  <c:v>72</c:v>
                </c:pt>
                <c:pt idx="25">
                  <c:v>86</c:v>
                </c:pt>
                <c:pt idx="26">
                  <c:v>70</c:v>
                </c:pt>
                <c:pt idx="27">
                  <c:v>84</c:v>
                </c:pt>
                <c:pt idx="28">
                  <c:v>67</c:v>
                </c:pt>
                <c:pt idx="29">
                  <c:v>92</c:v>
                </c:pt>
              </c:numCache>
            </c:numRef>
          </c:val>
        </c:ser>
        <c:ser>
          <c:idx val="2"/>
          <c:order val="2"/>
          <c:tx>
            <c:strRef>
              <c:f>Sheet1!$U$6</c:f>
              <c:strCache>
                <c:ptCount val="1"/>
                <c:pt idx="0">
                  <c:v>Sum of Sub3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Sheet1!$U$7:$U$37</c:f>
              <c:numCache>
                <c:formatCode>General</c:formatCode>
                <c:ptCount val="30"/>
                <c:pt idx="0">
                  <c:v>74</c:v>
                </c:pt>
                <c:pt idx="1">
                  <c:v>84</c:v>
                </c:pt>
                <c:pt idx="2">
                  <c:v>68</c:v>
                </c:pt>
                <c:pt idx="3">
                  <c:v>85</c:v>
                </c:pt>
                <c:pt idx="4">
                  <c:v>58</c:v>
                </c:pt>
                <c:pt idx="5">
                  <c:v>89</c:v>
                </c:pt>
                <c:pt idx="6">
                  <c:v>76</c:v>
                </c:pt>
                <c:pt idx="7">
                  <c:v>66</c:v>
                </c:pt>
                <c:pt idx="8">
                  <c:v>73</c:v>
                </c:pt>
                <c:pt idx="9">
                  <c:v>90</c:v>
                </c:pt>
                <c:pt idx="10">
                  <c:v>58</c:v>
                </c:pt>
                <c:pt idx="11">
                  <c:v>82</c:v>
                </c:pt>
                <c:pt idx="12">
                  <c:v>72</c:v>
                </c:pt>
                <c:pt idx="13">
                  <c:v>75</c:v>
                </c:pt>
                <c:pt idx="14">
                  <c:v>83</c:v>
                </c:pt>
                <c:pt idx="15">
                  <c:v>90</c:v>
                </c:pt>
                <c:pt idx="16">
                  <c:v>70</c:v>
                </c:pt>
                <c:pt idx="17">
                  <c:v>76</c:v>
                </c:pt>
                <c:pt idx="18">
                  <c:v>62</c:v>
                </c:pt>
                <c:pt idx="19">
                  <c:v>80</c:v>
                </c:pt>
                <c:pt idx="20">
                  <c:v>72</c:v>
                </c:pt>
                <c:pt idx="21">
                  <c:v>88</c:v>
                </c:pt>
                <c:pt idx="22">
                  <c:v>58</c:v>
                </c:pt>
                <c:pt idx="23">
                  <c:v>82</c:v>
                </c:pt>
                <c:pt idx="24">
                  <c:v>68</c:v>
                </c:pt>
                <c:pt idx="25">
                  <c:v>90</c:v>
                </c:pt>
                <c:pt idx="26">
                  <c:v>66</c:v>
                </c:pt>
                <c:pt idx="27">
                  <c:v>80</c:v>
                </c:pt>
                <c:pt idx="28">
                  <c:v>63</c:v>
                </c:pt>
                <c:pt idx="29">
                  <c:v>88</c:v>
                </c:pt>
              </c:numCache>
            </c:numRef>
          </c:val>
        </c:ser>
        <c:ser>
          <c:idx val="3"/>
          <c:order val="3"/>
          <c:tx>
            <c:strRef>
              <c:f>Sheet1!$V$6</c:f>
              <c:strCache>
                <c:ptCount val="1"/>
                <c:pt idx="0">
                  <c:v>Sum of Sub4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Sheet1!$V$7:$V$37</c:f>
              <c:numCache>
                <c:formatCode>General</c:formatCode>
                <c:ptCount val="30"/>
                <c:pt idx="0">
                  <c:v>80</c:v>
                </c:pt>
                <c:pt idx="1">
                  <c:v>86</c:v>
                </c:pt>
                <c:pt idx="2">
                  <c:v>72</c:v>
                </c:pt>
                <c:pt idx="3">
                  <c:v>80</c:v>
                </c:pt>
                <c:pt idx="4">
                  <c:v>62</c:v>
                </c:pt>
                <c:pt idx="5">
                  <c:v>91</c:v>
                </c:pt>
                <c:pt idx="6">
                  <c:v>82</c:v>
                </c:pt>
                <c:pt idx="7">
                  <c:v>72</c:v>
                </c:pt>
                <c:pt idx="8">
                  <c:v>78</c:v>
                </c:pt>
                <c:pt idx="9">
                  <c:v>85</c:v>
                </c:pt>
                <c:pt idx="10">
                  <c:v>62</c:v>
                </c:pt>
                <c:pt idx="11">
                  <c:v>88</c:v>
                </c:pt>
                <c:pt idx="12">
                  <c:v>71</c:v>
                </c:pt>
                <c:pt idx="13">
                  <c:v>82</c:v>
                </c:pt>
                <c:pt idx="14">
                  <c:v>88</c:v>
                </c:pt>
                <c:pt idx="15">
                  <c:v>95</c:v>
                </c:pt>
                <c:pt idx="16">
                  <c:v>76</c:v>
                </c:pt>
                <c:pt idx="17">
                  <c:v>82</c:v>
                </c:pt>
                <c:pt idx="18">
                  <c:v>70</c:v>
                </c:pt>
                <c:pt idx="19">
                  <c:v>85</c:v>
                </c:pt>
                <c:pt idx="20">
                  <c:v>78</c:v>
                </c:pt>
                <c:pt idx="21">
                  <c:v>94</c:v>
                </c:pt>
                <c:pt idx="22">
                  <c:v>65</c:v>
                </c:pt>
                <c:pt idx="23">
                  <c:v>79</c:v>
                </c:pt>
                <c:pt idx="24">
                  <c:v>74</c:v>
                </c:pt>
                <c:pt idx="25">
                  <c:v>87</c:v>
                </c:pt>
                <c:pt idx="26">
                  <c:v>72</c:v>
                </c:pt>
                <c:pt idx="27">
                  <c:v>85</c:v>
                </c:pt>
                <c:pt idx="28">
                  <c:v>70</c:v>
                </c:pt>
                <c:pt idx="29">
                  <c:v>91</c:v>
                </c:pt>
              </c:numCache>
            </c:numRef>
          </c:val>
        </c:ser>
        <c:ser>
          <c:idx val="4"/>
          <c:order val="4"/>
          <c:tx>
            <c:strRef>
              <c:f>Sheet1!$W$6</c:f>
              <c:strCache>
                <c:ptCount val="1"/>
                <c:pt idx="0">
                  <c:v>Sum of Sub5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2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Sheet1!$R$7:$R$37</c:f>
              <c:strCache>
                <c:ptCount val="30"/>
                <c:pt idx="0">
                  <c:v>S001</c:v>
                </c:pt>
                <c:pt idx="1">
                  <c:v>S002</c:v>
                </c:pt>
                <c:pt idx="2">
                  <c:v>S003</c:v>
                </c:pt>
                <c:pt idx="3">
                  <c:v>S004</c:v>
                </c:pt>
                <c:pt idx="4">
                  <c:v>S005</c:v>
                </c:pt>
                <c:pt idx="5">
                  <c:v>S006</c:v>
                </c:pt>
                <c:pt idx="6">
                  <c:v>S007</c:v>
                </c:pt>
                <c:pt idx="7">
                  <c:v>S008</c:v>
                </c:pt>
                <c:pt idx="8">
                  <c:v>S009</c:v>
                </c:pt>
                <c:pt idx="9">
                  <c:v>S010</c:v>
                </c:pt>
                <c:pt idx="10">
                  <c:v>S011</c:v>
                </c:pt>
                <c:pt idx="11">
                  <c:v>S012</c:v>
                </c:pt>
                <c:pt idx="12">
                  <c:v>S013</c:v>
                </c:pt>
                <c:pt idx="13">
                  <c:v>S014</c:v>
                </c:pt>
                <c:pt idx="14">
                  <c:v>S015</c:v>
                </c:pt>
                <c:pt idx="15">
                  <c:v>S016</c:v>
                </c:pt>
                <c:pt idx="16">
                  <c:v>S017</c:v>
                </c:pt>
                <c:pt idx="17">
                  <c:v>S018</c:v>
                </c:pt>
                <c:pt idx="18">
                  <c:v>S019</c:v>
                </c:pt>
                <c:pt idx="19">
                  <c:v>S020</c:v>
                </c:pt>
                <c:pt idx="20">
                  <c:v>S021</c:v>
                </c:pt>
                <c:pt idx="21">
                  <c:v>S022</c:v>
                </c:pt>
                <c:pt idx="22">
                  <c:v>S023</c:v>
                </c:pt>
                <c:pt idx="23">
                  <c:v>S024</c:v>
                </c:pt>
                <c:pt idx="24">
                  <c:v>S025</c:v>
                </c:pt>
                <c:pt idx="25">
                  <c:v>S026</c:v>
                </c:pt>
                <c:pt idx="26">
                  <c:v>S027</c:v>
                </c:pt>
                <c:pt idx="27">
                  <c:v>S028</c:v>
                </c:pt>
                <c:pt idx="28">
                  <c:v>S029</c:v>
                </c:pt>
                <c:pt idx="29">
                  <c:v>S030</c:v>
                </c:pt>
              </c:strCache>
            </c:strRef>
          </c:cat>
          <c:val>
            <c:numRef>
              <c:f>Sheet1!$W$7:$W$37</c:f>
              <c:numCache>
                <c:formatCode>General</c:formatCode>
                <c:ptCount val="30"/>
                <c:pt idx="0">
                  <c:v>88</c:v>
                </c:pt>
                <c:pt idx="1">
                  <c:v>92</c:v>
                </c:pt>
                <c:pt idx="2">
                  <c:v>75</c:v>
                </c:pt>
                <c:pt idx="3">
                  <c:v>78</c:v>
                </c:pt>
                <c:pt idx="4">
                  <c:v>66</c:v>
                </c:pt>
                <c:pt idx="5">
                  <c:v>94</c:v>
                </c:pt>
                <c:pt idx="6">
                  <c:v>84</c:v>
                </c:pt>
                <c:pt idx="7">
                  <c:v>69</c:v>
                </c:pt>
                <c:pt idx="8">
                  <c:v>76</c:v>
                </c:pt>
                <c:pt idx="9">
                  <c:v>89</c:v>
                </c:pt>
                <c:pt idx="10">
                  <c:v>57</c:v>
                </c:pt>
                <c:pt idx="11">
                  <c:v>85</c:v>
                </c:pt>
                <c:pt idx="12">
                  <c:v>69</c:v>
                </c:pt>
                <c:pt idx="13">
                  <c:v>79</c:v>
                </c:pt>
                <c:pt idx="14">
                  <c:v>86</c:v>
                </c:pt>
                <c:pt idx="15">
                  <c:v>93</c:v>
                </c:pt>
                <c:pt idx="16">
                  <c:v>73</c:v>
                </c:pt>
                <c:pt idx="17">
                  <c:v>79</c:v>
                </c:pt>
                <c:pt idx="18">
                  <c:v>66</c:v>
                </c:pt>
                <c:pt idx="19">
                  <c:v>83</c:v>
                </c:pt>
                <c:pt idx="20">
                  <c:v>75</c:v>
                </c:pt>
                <c:pt idx="21">
                  <c:v>91</c:v>
                </c:pt>
                <c:pt idx="22">
                  <c:v>63</c:v>
                </c:pt>
                <c:pt idx="23">
                  <c:v>81</c:v>
                </c:pt>
                <c:pt idx="24">
                  <c:v>71</c:v>
                </c:pt>
                <c:pt idx="25">
                  <c:v>89</c:v>
                </c:pt>
                <c:pt idx="26">
                  <c:v>69</c:v>
                </c:pt>
                <c:pt idx="27">
                  <c:v>83</c:v>
                </c:pt>
                <c:pt idx="28">
                  <c:v>68</c:v>
                </c:pt>
                <c:pt idx="29">
                  <c:v>93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05129578"/>
        <c:axId val="107563706"/>
      </c:barChart>
      <c:catAx>
        <c:axId val="5051295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07563706"/>
        <c:crosses val="autoZero"/>
        <c:auto val="1"/>
        <c:lblAlgn val="ctr"/>
        <c:lblOffset val="100"/>
        <c:noMultiLvlLbl val="0"/>
      </c:catAx>
      <c:valAx>
        <c:axId val="10756370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5051295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9220c3-476a-45fb-9ad4-bf2c2d9ba770}"/>
      </c:ext>
    </c:extLst>
  </c:chart>
  <c:spPr>
    <a:gradFill rotWithShape="1">
      <a:gsLst>
        <a:gs pos="0">
          <a:schemeClr val="accent3">
            <a:shade val="51000"/>
            <a:satMod val="130000"/>
          </a:schemeClr>
        </a:gs>
        <a:gs pos="80000">
          <a:schemeClr val="accent3">
            <a:shade val="93000"/>
            <a:satMod val="130000"/>
          </a:schemeClr>
        </a:gs>
        <a:gs pos="100000">
          <a:schemeClr val="accent3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GB" sz="1400" b="1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[Student_Data_30_Rows.xlsx]Sheet3!PivotTable1</c:name>
    <c:fmtId val="12"/>
  </c:pivotSource>
  <c:chart>
    <c:autoTitleDeleted val="1"/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76353637736765"/>
                  <c:y val="0.028372041776037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730222142166831"/>
                  <c:y val="-0.14831741762624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93826746775638"/>
                  <c:y val="-0.098794634675744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36214201435498"/>
                  <c:y val="-0.075198022465943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695391280792372"/>
                  <c:y val="-0.092990815212566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2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CE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ME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8</c:v>
                </c:pt>
                <c:pt idx="1">
                  <c:v>8.1</c:v>
                </c:pt>
                <c:pt idx="2">
                  <c:v>8.10666666666667</c:v>
                </c:pt>
                <c:pt idx="3">
                  <c:v>7.248</c:v>
                </c:pt>
                <c:pt idx="4">
                  <c:v>7.47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GB" sz="2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20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13531c-74c8-4e4a-8ddb-5f9a202fc008}"/>
      </c:ext>
    </c:extLst>
  </c:chart>
  <c:spPr>
    <a:gradFill rotWithShape="1">
      <a:gsLst>
        <a:gs pos="0">
          <a:schemeClr val="accent3">
            <a:shade val="51000"/>
            <a:satMod val="130000"/>
          </a:schemeClr>
        </a:gs>
        <a:gs pos="80000">
          <a:schemeClr val="accent3">
            <a:shade val="93000"/>
            <a:satMod val="130000"/>
          </a:schemeClr>
        </a:gs>
        <a:gs pos="100000">
          <a:schemeClr val="accent3">
            <a:shade val="94000"/>
            <a:satMod val="135000"/>
          </a:schemeClr>
        </a:gs>
      </a:gsLst>
      <a:lin ang="162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GB" sz="20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179705</xdr:colOff>
      <xdr:row>0</xdr:row>
      <xdr:rowOff>7620</xdr:rowOff>
    </xdr:from>
    <xdr:to>
      <xdr:col>14</xdr:col>
      <xdr:colOff>304800</xdr:colOff>
      <xdr:row>10</xdr:row>
      <xdr:rowOff>153670</xdr:rowOff>
    </xdr:to>
    <xdr:graphicFrame>
      <xdr:nvGraphicFramePr>
        <xdr:cNvPr id="7" name="Chart 6"/>
        <xdr:cNvGraphicFramePr/>
      </xdr:nvGraphicFramePr>
      <xdr:xfrm>
        <a:off x="1955165" y="7620"/>
        <a:ext cx="7699375" cy="1974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285115</xdr:colOff>
      <xdr:row>44</xdr:row>
      <xdr:rowOff>53340</xdr:rowOff>
    </xdr:from>
    <xdr:to>
      <xdr:col>24</xdr:col>
      <xdr:colOff>378460</xdr:colOff>
      <xdr:row>72</xdr:row>
      <xdr:rowOff>60325</xdr:rowOff>
    </xdr:to>
    <xdr:graphicFrame>
      <xdr:nvGraphicFramePr>
        <xdr:cNvPr id="8" name="Chart 7"/>
        <xdr:cNvGraphicFramePr/>
      </xdr:nvGraphicFramePr>
      <xdr:xfrm>
        <a:off x="8766175" y="8100060"/>
        <a:ext cx="10144125" cy="5127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60325</xdr:colOff>
      <xdr:row>4</xdr:row>
      <xdr:rowOff>56515</xdr:rowOff>
    </xdr:from>
    <xdr:to>
      <xdr:col>34</xdr:col>
      <xdr:colOff>571500</xdr:colOff>
      <xdr:row>29</xdr:row>
      <xdr:rowOff>105410</xdr:rowOff>
    </xdr:to>
    <xdr:graphicFrame>
      <xdr:nvGraphicFramePr>
        <xdr:cNvPr id="9" name="Chart 8"/>
        <xdr:cNvGraphicFramePr/>
      </xdr:nvGraphicFramePr>
      <xdr:xfrm>
        <a:off x="20763865" y="788035"/>
        <a:ext cx="6812915" cy="4620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</xdr:colOff>
      <xdr:row>15</xdr:row>
      <xdr:rowOff>127635</xdr:rowOff>
    </xdr:from>
    <xdr:to>
      <xdr:col>12</xdr:col>
      <xdr:colOff>484505</xdr:colOff>
      <xdr:row>37</xdr:row>
      <xdr:rowOff>18415</xdr:rowOff>
    </xdr:to>
    <xdr:graphicFrame>
      <xdr:nvGraphicFramePr>
        <xdr:cNvPr id="13" name="Chart 12"/>
        <xdr:cNvGraphicFramePr/>
      </xdr:nvGraphicFramePr>
      <xdr:xfrm>
        <a:off x="7620" y="2870835"/>
        <a:ext cx="8348345" cy="3914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535940</xdr:colOff>
      <xdr:row>1</xdr:row>
      <xdr:rowOff>38100</xdr:rowOff>
    </xdr:from>
    <xdr:to>
      <xdr:col>11</xdr:col>
      <xdr:colOff>485140</xdr:colOff>
      <xdr:row>16</xdr:row>
      <xdr:rowOff>38100</xdr:rowOff>
    </xdr:to>
    <xdr:graphicFrame>
      <xdr:nvGraphicFramePr>
        <xdr:cNvPr id="3" name="Chart 2"/>
        <xdr:cNvGraphicFramePr/>
      </xdr:nvGraphicFramePr>
      <xdr:xfrm>
        <a:off x="3294380" y="2209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49</xdr:col>
      <xdr:colOff>247650</xdr:colOff>
      <xdr:row>32</xdr:row>
      <xdr:rowOff>81280</xdr:rowOff>
    </xdr:from>
    <xdr:to>
      <xdr:col>54</xdr:col>
      <xdr:colOff>240030</xdr:colOff>
      <xdr:row>41</xdr:row>
      <xdr:rowOff>43815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18050" y="5933440"/>
              <a:ext cx="3040380" cy="16084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49</xdr:col>
      <xdr:colOff>125095</xdr:colOff>
      <xdr:row>7</xdr:row>
      <xdr:rowOff>38100</xdr:rowOff>
    </xdr:from>
    <xdr:to>
      <xdr:col>54</xdr:col>
      <xdr:colOff>61595</xdr:colOff>
      <xdr:row>32</xdr:row>
      <xdr:rowOff>33020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tudent I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udent 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95495" y="1318260"/>
              <a:ext cx="2984500" cy="4566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45720</xdr:colOff>
      <xdr:row>0</xdr:row>
      <xdr:rowOff>26670</xdr:rowOff>
    </xdr:from>
    <xdr:to>
      <xdr:col>54</xdr:col>
      <xdr:colOff>84455</xdr:colOff>
      <xdr:row>7</xdr:row>
      <xdr:rowOff>74295</xdr:rowOff>
    </xdr:to>
    <xdr:sp>
      <xdr:nvSpPr>
        <xdr:cNvPr id="6" name="Rectangles 5"/>
        <xdr:cNvSpPr/>
      </xdr:nvSpPr>
      <xdr:spPr>
        <a:xfrm>
          <a:off x="45720" y="26670"/>
          <a:ext cx="32957135" cy="1327785"/>
        </a:xfrm>
        <a:prstGeom prst="rect">
          <a:avLst/>
        </a:prstGeom>
      </xdr:spPr>
      <xdr:style>
        <a:lnRef idx="0">
          <a:srgbClr val="FFFFFF"/>
        </a:lnRef>
        <a:fillRef idx="3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11</xdr:col>
      <xdr:colOff>598805</xdr:colOff>
      <xdr:row>1</xdr:row>
      <xdr:rowOff>46990</xdr:rowOff>
    </xdr:from>
    <xdr:to>
      <xdr:col>42</xdr:col>
      <xdr:colOff>329565</xdr:colOff>
      <xdr:row>6</xdr:row>
      <xdr:rowOff>82550</xdr:rowOff>
    </xdr:to>
    <xdr:sp>
      <xdr:nvSpPr>
        <xdr:cNvPr id="8" name="Text Box 7"/>
        <xdr:cNvSpPr txBox="1"/>
      </xdr:nvSpPr>
      <xdr:spPr>
        <a:xfrm>
          <a:off x="7304405" y="229870"/>
          <a:ext cx="18628360" cy="949960"/>
        </a:xfrm>
        <a:prstGeom prst="rect">
          <a:avLst/>
        </a:prstGeom>
        <a:ln>
          <a:noFill/>
        </a:ln>
      </xdr:spPr>
      <xdr:style>
        <a:lnRef idx="0">
          <a:srgbClr val="FFFFFF"/>
        </a:lnRef>
        <a:fillRef idx="3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en-GB" sz="4800" b="1">
              <a:ln>
                <a:noFill/>
              </a:ln>
              <a:solidFill>
                <a:schemeClr val="bg1"/>
              </a:solidFill>
            </a:rPr>
            <a:t>DASHBOARD FOR STUDENTS PERFORMANCE BASED ON THEIR GPA</a:t>
          </a:r>
          <a:endParaRPr lang="en-US" altLang="en-GB" sz="4800" b="1">
            <a:ln>
              <a:noFill/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7620</xdr:colOff>
      <xdr:row>6</xdr:row>
      <xdr:rowOff>175895</xdr:rowOff>
    </xdr:from>
    <xdr:to>
      <xdr:col>49</xdr:col>
      <xdr:colOff>135255</xdr:colOff>
      <xdr:row>78</xdr:row>
      <xdr:rowOff>141605</xdr:rowOff>
    </xdr:to>
    <xdr:sp>
      <xdr:nvSpPr>
        <xdr:cNvPr id="10" name="Rectangles 9"/>
        <xdr:cNvSpPr/>
      </xdr:nvSpPr>
      <xdr:spPr>
        <a:xfrm>
          <a:off x="7620" y="1273175"/>
          <a:ext cx="29998035" cy="13133070"/>
        </a:xfrm>
        <a:prstGeom prst="rect">
          <a:avLst/>
        </a:prstGeom>
      </xdr:spPr>
      <xdr:style>
        <a:lnRef idx="0">
          <a:srgbClr val="FFFFFF"/>
        </a:lnRef>
        <a:fillRef idx="2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2200"/>
        </a:p>
      </xdr:txBody>
    </xdr:sp>
    <xdr:clientData/>
  </xdr:twoCellAnchor>
  <xdr:twoCellAnchor>
    <xdr:from>
      <xdr:col>0</xdr:col>
      <xdr:colOff>7620</xdr:colOff>
      <xdr:row>51</xdr:row>
      <xdr:rowOff>74930</xdr:rowOff>
    </xdr:from>
    <xdr:to>
      <xdr:col>31</xdr:col>
      <xdr:colOff>100965</xdr:colOff>
      <xdr:row>78</xdr:row>
      <xdr:rowOff>130810</xdr:rowOff>
    </xdr:to>
    <xdr:graphicFrame>
      <xdr:nvGraphicFramePr>
        <xdr:cNvPr id="16" name="Chart 15"/>
        <xdr:cNvGraphicFramePr/>
      </xdr:nvGraphicFramePr>
      <xdr:xfrm>
        <a:off x="7620" y="9401810"/>
        <a:ext cx="18990945" cy="499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156210</xdr:colOff>
      <xdr:row>16</xdr:row>
      <xdr:rowOff>118110</xdr:rowOff>
    </xdr:from>
    <xdr:to>
      <xdr:col>49</xdr:col>
      <xdr:colOff>226060</xdr:colOff>
      <xdr:row>51</xdr:row>
      <xdr:rowOff>165735</xdr:rowOff>
    </xdr:to>
    <xdr:graphicFrame>
      <xdr:nvGraphicFramePr>
        <xdr:cNvPr id="18" name="Chart 17"/>
        <xdr:cNvGraphicFramePr/>
      </xdr:nvGraphicFramePr>
      <xdr:xfrm>
        <a:off x="19053810" y="3044190"/>
        <a:ext cx="11042650" cy="6448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16</xdr:row>
      <xdr:rowOff>48260</xdr:rowOff>
    </xdr:from>
    <xdr:to>
      <xdr:col>31</xdr:col>
      <xdr:colOff>195580</xdr:colOff>
      <xdr:row>51</xdr:row>
      <xdr:rowOff>59055</xdr:rowOff>
    </xdr:to>
    <xdr:graphicFrame>
      <xdr:nvGraphicFramePr>
        <xdr:cNvPr id="19" name="Chart 18"/>
        <xdr:cNvGraphicFramePr/>
      </xdr:nvGraphicFramePr>
      <xdr:xfrm>
        <a:off x="7620" y="2974340"/>
        <a:ext cx="19085560" cy="6411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49</xdr:col>
      <xdr:colOff>222250</xdr:colOff>
      <xdr:row>47</xdr:row>
      <xdr:rowOff>124460</xdr:rowOff>
    </xdr:from>
    <xdr:to>
      <xdr:col>54</xdr:col>
      <xdr:colOff>360045</xdr:colOff>
      <xdr:row>54</xdr:row>
      <xdr:rowOff>3810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Performance Status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92650" y="8719820"/>
              <a:ext cx="3185795" cy="1159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49</xdr:col>
      <xdr:colOff>217170</xdr:colOff>
      <xdr:row>41</xdr:row>
      <xdr:rowOff>54610</xdr:rowOff>
    </xdr:from>
    <xdr:to>
      <xdr:col>54</xdr:col>
      <xdr:colOff>331470</xdr:colOff>
      <xdr:row>48</xdr:row>
      <xdr:rowOff>24765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87570" y="7552690"/>
              <a:ext cx="3162300" cy="1250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7620</xdr:colOff>
      <xdr:row>7</xdr:row>
      <xdr:rowOff>127000</xdr:rowOff>
    </xdr:from>
    <xdr:to>
      <xdr:col>5</xdr:col>
      <xdr:colOff>386080</xdr:colOff>
      <xdr:row>15</xdr:row>
      <xdr:rowOff>158750</xdr:rowOff>
    </xdr:to>
    <xdr:sp>
      <xdr:nvSpPr>
        <xdr:cNvPr id="9" name="Rounded Rectangle 8"/>
        <xdr:cNvSpPr/>
      </xdr:nvSpPr>
      <xdr:spPr>
        <a:xfrm>
          <a:off x="7620" y="1407160"/>
          <a:ext cx="3426460" cy="149479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7620</xdr:colOff>
      <xdr:row>7</xdr:row>
      <xdr:rowOff>114300</xdr:rowOff>
    </xdr:from>
    <xdr:to>
      <xdr:col>1</xdr:col>
      <xdr:colOff>421005</xdr:colOff>
      <xdr:row>15</xdr:row>
      <xdr:rowOff>171450</xdr:rowOff>
    </xdr:to>
    <xdr:sp>
      <xdr:nvSpPr>
        <xdr:cNvPr id="11" name="Rounded Rectangle 10"/>
        <xdr:cNvSpPr/>
      </xdr:nvSpPr>
      <xdr:spPr>
        <a:xfrm>
          <a:off x="7620" y="1394460"/>
          <a:ext cx="1022985" cy="1520190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1</xdr:col>
      <xdr:colOff>434975</xdr:colOff>
      <xdr:row>8</xdr:row>
      <xdr:rowOff>51435</xdr:rowOff>
    </xdr:from>
    <xdr:to>
      <xdr:col>5</xdr:col>
      <xdr:colOff>213995</xdr:colOff>
      <xdr:row>15</xdr:row>
      <xdr:rowOff>107950</xdr:rowOff>
    </xdr:to>
    <xdr:sp>
      <xdr:nvSpPr>
        <xdr:cNvPr id="12" name="Text Box 11"/>
        <xdr:cNvSpPr txBox="1"/>
      </xdr:nvSpPr>
      <xdr:spPr>
        <a:xfrm>
          <a:off x="1044575" y="1514475"/>
          <a:ext cx="2217420" cy="133667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altLang="en-US" sz="2400" b="1"/>
            <a:t>Average gpa</a:t>
          </a:r>
          <a:r>
            <a:rPr lang="en-US" altLang="en-GB" sz="2400" b="1"/>
            <a:t> of ECE</a:t>
          </a:r>
          <a:endParaRPr lang="en-US" altLang="en-GB" sz="2400" b="1"/>
        </a:p>
        <a:p>
          <a:pPr algn="l"/>
          <a:r>
            <a:rPr lang="en-US" altLang="en-GB" sz="2400" b="1"/>
            <a:t>8.1</a:t>
          </a:r>
          <a:endParaRPr lang="en-US" altLang="en-GB" sz="2400" b="1"/>
        </a:p>
        <a:p>
          <a:pPr algn="l"/>
          <a:endParaRPr lang="en-US" altLang="en-GB" sz="2400" b="1"/>
        </a:p>
      </xdr:txBody>
    </xdr:sp>
    <xdr:clientData/>
  </xdr:twoCellAnchor>
  <xdr:twoCellAnchor>
    <xdr:from>
      <xdr:col>10</xdr:col>
      <xdr:colOff>293370</xdr:colOff>
      <xdr:row>7</xdr:row>
      <xdr:rowOff>125095</xdr:rowOff>
    </xdr:from>
    <xdr:to>
      <xdr:col>14</xdr:col>
      <xdr:colOff>367030</xdr:colOff>
      <xdr:row>16</xdr:row>
      <xdr:rowOff>45085</xdr:rowOff>
    </xdr:to>
    <xdr:sp>
      <xdr:nvSpPr>
        <xdr:cNvPr id="13" name="Rounded Rectangle 12"/>
        <xdr:cNvSpPr/>
      </xdr:nvSpPr>
      <xdr:spPr>
        <a:xfrm>
          <a:off x="6389370" y="1405255"/>
          <a:ext cx="2512060" cy="156591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10</xdr:col>
      <xdr:colOff>291465</xdr:colOff>
      <xdr:row>7</xdr:row>
      <xdr:rowOff>82550</xdr:rowOff>
    </xdr:from>
    <xdr:to>
      <xdr:col>12</xdr:col>
      <xdr:colOff>63500</xdr:colOff>
      <xdr:row>16</xdr:row>
      <xdr:rowOff>74930</xdr:rowOff>
    </xdr:to>
    <xdr:sp>
      <xdr:nvSpPr>
        <xdr:cNvPr id="14" name="Rounded Rectangle 13"/>
        <xdr:cNvSpPr/>
      </xdr:nvSpPr>
      <xdr:spPr>
        <a:xfrm>
          <a:off x="6387465" y="1362710"/>
          <a:ext cx="991235" cy="1638300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12</xdr:col>
      <xdr:colOff>58420</xdr:colOff>
      <xdr:row>8</xdr:row>
      <xdr:rowOff>6350</xdr:rowOff>
    </xdr:from>
    <xdr:to>
      <xdr:col>14</xdr:col>
      <xdr:colOff>278130</xdr:colOff>
      <xdr:row>15</xdr:row>
      <xdr:rowOff>66040</xdr:rowOff>
    </xdr:to>
    <xdr:sp>
      <xdr:nvSpPr>
        <xdr:cNvPr id="17" name="Text Box 16"/>
        <xdr:cNvSpPr txBox="1"/>
      </xdr:nvSpPr>
      <xdr:spPr>
        <a:xfrm>
          <a:off x="7373620" y="1469390"/>
          <a:ext cx="1438910" cy="133985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2200" b="1"/>
            <a:t>Average gpa</a:t>
          </a:r>
          <a:r>
            <a:rPr lang="en-US" altLang="en-GB" sz="2200" b="1"/>
            <a:t> of EEE</a:t>
          </a:r>
          <a:endParaRPr lang="en-US" altLang="en-GB" sz="2200" b="1"/>
        </a:p>
        <a:p>
          <a:pPr algn="l"/>
          <a:r>
            <a:rPr lang="en-US" altLang="en-GB" sz="2400" b="1"/>
            <a:t>7.24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18</xdr:col>
      <xdr:colOff>509270</xdr:colOff>
      <xdr:row>7</xdr:row>
      <xdr:rowOff>144145</xdr:rowOff>
    </xdr:from>
    <xdr:to>
      <xdr:col>22</xdr:col>
      <xdr:colOff>582930</xdr:colOff>
      <xdr:row>16</xdr:row>
      <xdr:rowOff>7620</xdr:rowOff>
    </xdr:to>
    <xdr:sp>
      <xdr:nvSpPr>
        <xdr:cNvPr id="20" name="Rounded Rectangle 19"/>
        <xdr:cNvSpPr/>
      </xdr:nvSpPr>
      <xdr:spPr>
        <a:xfrm>
          <a:off x="11482070" y="1424305"/>
          <a:ext cx="2512060" cy="1509395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18</xdr:col>
      <xdr:colOff>509270</xdr:colOff>
      <xdr:row>7</xdr:row>
      <xdr:rowOff>124460</xdr:rowOff>
    </xdr:from>
    <xdr:to>
      <xdr:col>20</xdr:col>
      <xdr:colOff>262890</xdr:colOff>
      <xdr:row>15</xdr:row>
      <xdr:rowOff>174625</xdr:rowOff>
    </xdr:to>
    <xdr:sp>
      <xdr:nvSpPr>
        <xdr:cNvPr id="21" name="Rounded Rectangle 20"/>
        <xdr:cNvSpPr/>
      </xdr:nvSpPr>
      <xdr:spPr>
        <a:xfrm>
          <a:off x="11482070" y="1404620"/>
          <a:ext cx="972820" cy="1513205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20</xdr:col>
      <xdr:colOff>222250</xdr:colOff>
      <xdr:row>7</xdr:row>
      <xdr:rowOff>182245</xdr:rowOff>
    </xdr:from>
    <xdr:to>
      <xdr:col>22</xdr:col>
      <xdr:colOff>460375</xdr:colOff>
      <xdr:row>15</xdr:row>
      <xdr:rowOff>144145</xdr:rowOff>
    </xdr:to>
    <xdr:sp>
      <xdr:nvSpPr>
        <xdr:cNvPr id="22" name="Text Box 21"/>
        <xdr:cNvSpPr txBox="1"/>
      </xdr:nvSpPr>
      <xdr:spPr>
        <a:xfrm>
          <a:off x="12414250" y="1462405"/>
          <a:ext cx="1457325" cy="142494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2400" b="1"/>
            <a:t>Average gpa</a:t>
          </a:r>
          <a:r>
            <a:rPr lang="en-US" altLang="en-GB" sz="2400" b="1"/>
            <a:t> of ME</a:t>
          </a:r>
          <a:endParaRPr lang="en-US" altLang="en-GB" sz="2400" b="1"/>
        </a:p>
        <a:p>
          <a:pPr algn="l"/>
          <a:r>
            <a:rPr lang="en-US" altLang="en-GB" sz="2400" b="1"/>
            <a:t>7.47</a:t>
          </a:r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33</xdr:col>
      <xdr:colOff>154940</xdr:colOff>
      <xdr:row>7</xdr:row>
      <xdr:rowOff>99695</xdr:rowOff>
    </xdr:from>
    <xdr:to>
      <xdr:col>38</xdr:col>
      <xdr:colOff>54610</xdr:colOff>
      <xdr:row>16</xdr:row>
      <xdr:rowOff>9525</xdr:rowOff>
    </xdr:to>
    <xdr:sp>
      <xdr:nvSpPr>
        <xdr:cNvPr id="23" name="Rounded Rectangle 22"/>
        <xdr:cNvSpPr/>
      </xdr:nvSpPr>
      <xdr:spPr>
        <a:xfrm>
          <a:off x="20271740" y="1379855"/>
          <a:ext cx="2947670" cy="155575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33</xdr:col>
      <xdr:colOff>129540</xdr:colOff>
      <xdr:row>7</xdr:row>
      <xdr:rowOff>100965</xdr:rowOff>
    </xdr:from>
    <xdr:to>
      <xdr:col>35</xdr:col>
      <xdr:colOff>45085</xdr:colOff>
      <xdr:row>16</xdr:row>
      <xdr:rowOff>34290</xdr:rowOff>
    </xdr:to>
    <xdr:sp>
      <xdr:nvSpPr>
        <xdr:cNvPr id="24" name="Rounded Rectangle 23"/>
        <xdr:cNvSpPr/>
      </xdr:nvSpPr>
      <xdr:spPr>
        <a:xfrm>
          <a:off x="20246340" y="1381125"/>
          <a:ext cx="1134745" cy="1579245"/>
        </a:xfrm>
        <a:prstGeom prst="roundRect">
          <a:avLst/>
        </a:prstGeom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35</xdr:col>
      <xdr:colOff>143510</xdr:colOff>
      <xdr:row>8</xdr:row>
      <xdr:rowOff>34925</xdr:rowOff>
    </xdr:from>
    <xdr:to>
      <xdr:col>37</xdr:col>
      <xdr:colOff>537845</xdr:colOff>
      <xdr:row>15</xdr:row>
      <xdr:rowOff>7620</xdr:rowOff>
    </xdr:to>
    <xdr:sp>
      <xdr:nvSpPr>
        <xdr:cNvPr id="25" name="Text Box 24"/>
        <xdr:cNvSpPr txBox="1"/>
      </xdr:nvSpPr>
      <xdr:spPr>
        <a:xfrm>
          <a:off x="21479510" y="1497965"/>
          <a:ext cx="1613535" cy="125285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400" b="1"/>
            <a:t>Highest</a:t>
          </a:r>
          <a:endParaRPr lang="en-US" altLang="en-GB" sz="2400" b="1"/>
        </a:p>
        <a:p>
          <a:pPr algn="l"/>
          <a:r>
            <a:rPr lang="en-GB" altLang="en-US" sz="2400" b="1"/>
            <a:t>gpa</a:t>
          </a:r>
          <a:r>
            <a:rPr lang="en-US" altLang="en-GB" sz="2400" b="1"/>
            <a:t> of ECE</a:t>
          </a:r>
          <a:endParaRPr lang="en-US" altLang="en-GB" sz="2400" b="1"/>
        </a:p>
        <a:p>
          <a:pPr algn="l"/>
          <a:r>
            <a:rPr lang="en-US" altLang="en-GB" sz="2400" b="1"/>
            <a:t>9.28</a:t>
          </a:r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43</xdr:col>
      <xdr:colOff>38100</xdr:colOff>
      <xdr:row>7</xdr:row>
      <xdr:rowOff>48895</xdr:rowOff>
    </xdr:from>
    <xdr:to>
      <xdr:col>48</xdr:col>
      <xdr:colOff>74295</xdr:colOff>
      <xdr:row>15</xdr:row>
      <xdr:rowOff>104775</xdr:rowOff>
    </xdr:to>
    <xdr:sp>
      <xdr:nvSpPr>
        <xdr:cNvPr id="26" name="Rounded Rectangle 25"/>
        <xdr:cNvSpPr/>
      </xdr:nvSpPr>
      <xdr:spPr>
        <a:xfrm>
          <a:off x="26250900" y="1329055"/>
          <a:ext cx="3084195" cy="151892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43</xdr:col>
      <xdr:colOff>32385</xdr:colOff>
      <xdr:row>7</xdr:row>
      <xdr:rowOff>48260</xdr:rowOff>
    </xdr:from>
    <xdr:to>
      <xdr:col>44</xdr:col>
      <xdr:colOff>415290</xdr:colOff>
      <xdr:row>15</xdr:row>
      <xdr:rowOff>128905</xdr:rowOff>
    </xdr:to>
    <xdr:sp>
      <xdr:nvSpPr>
        <xdr:cNvPr id="27" name="Rounded Rectangle 26"/>
        <xdr:cNvSpPr/>
      </xdr:nvSpPr>
      <xdr:spPr>
        <a:xfrm>
          <a:off x="26245185" y="1328420"/>
          <a:ext cx="992505" cy="1543685"/>
        </a:xfrm>
        <a:prstGeom prst="roundRect">
          <a:avLst/>
        </a:prstGeom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44</xdr:col>
      <xdr:colOff>430530</xdr:colOff>
      <xdr:row>7</xdr:row>
      <xdr:rowOff>69850</xdr:rowOff>
    </xdr:from>
    <xdr:to>
      <xdr:col>47</xdr:col>
      <xdr:colOff>502920</xdr:colOff>
      <xdr:row>15</xdr:row>
      <xdr:rowOff>9525</xdr:rowOff>
    </xdr:to>
    <xdr:sp>
      <xdr:nvSpPr>
        <xdr:cNvPr id="28" name="Text Box 27"/>
        <xdr:cNvSpPr txBox="1"/>
      </xdr:nvSpPr>
      <xdr:spPr>
        <a:xfrm>
          <a:off x="27252930" y="1350010"/>
          <a:ext cx="1901190" cy="140271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600" b="1"/>
            <a:t>Highest</a:t>
          </a:r>
          <a:endParaRPr lang="en-US" altLang="en-GB" sz="2600" b="1"/>
        </a:p>
        <a:p>
          <a:pPr algn="l"/>
          <a:r>
            <a:rPr lang="en-GB" altLang="en-US" sz="2600" b="1"/>
            <a:t> gpa</a:t>
          </a:r>
          <a:r>
            <a:rPr lang="en-US" altLang="en-GB" sz="2600" b="1"/>
            <a:t> of CSE</a:t>
          </a:r>
          <a:endParaRPr lang="en-US" altLang="en-GB" sz="2600" b="1"/>
        </a:p>
        <a:p>
          <a:pPr algn="l"/>
          <a:r>
            <a:rPr lang="en-US" altLang="en-GB" sz="2600" b="1"/>
            <a:t>9.1</a:t>
          </a:r>
          <a:endParaRPr lang="en-US" altLang="en-GB" sz="2600" b="1"/>
        </a:p>
        <a:p>
          <a:pPr algn="l"/>
          <a:endParaRPr lang="en-US" altLang="en-GB" sz="1600" b="1"/>
        </a:p>
        <a:p>
          <a:pPr algn="l"/>
          <a:endParaRPr lang="en-US" altLang="en-GB" sz="1600" b="1"/>
        </a:p>
      </xdr:txBody>
    </xdr:sp>
    <xdr:clientData/>
  </xdr:twoCellAnchor>
  <xdr:twoCellAnchor>
    <xdr:from>
      <xdr:col>5</xdr:col>
      <xdr:colOff>408305</xdr:colOff>
      <xdr:row>7</xdr:row>
      <xdr:rowOff>133985</xdr:rowOff>
    </xdr:from>
    <xdr:to>
      <xdr:col>10</xdr:col>
      <xdr:colOff>271780</xdr:colOff>
      <xdr:row>16</xdr:row>
      <xdr:rowOff>103505</xdr:rowOff>
    </xdr:to>
    <xdr:sp>
      <xdr:nvSpPr>
        <xdr:cNvPr id="29" name="Rounded Rectangle 28"/>
        <xdr:cNvSpPr/>
      </xdr:nvSpPr>
      <xdr:spPr>
        <a:xfrm>
          <a:off x="3456305" y="1414145"/>
          <a:ext cx="2911475" cy="161544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5</xdr:col>
      <xdr:colOff>369570</xdr:colOff>
      <xdr:row>7</xdr:row>
      <xdr:rowOff>107950</xdr:rowOff>
    </xdr:from>
    <xdr:to>
      <xdr:col>7</xdr:col>
      <xdr:colOff>140335</xdr:colOff>
      <xdr:row>16</xdr:row>
      <xdr:rowOff>94615</xdr:rowOff>
    </xdr:to>
    <xdr:sp>
      <xdr:nvSpPr>
        <xdr:cNvPr id="30" name="Rounded Rectangle 29"/>
        <xdr:cNvSpPr/>
      </xdr:nvSpPr>
      <xdr:spPr>
        <a:xfrm>
          <a:off x="3417570" y="1388110"/>
          <a:ext cx="989965" cy="1632585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7</xdr:col>
      <xdr:colOff>163195</xdr:colOff>
      <xdr:row>7</xdr:row>
      <xdr:rowOff>181610</xdr:rowOff>
    </xdr:from>
    <xdr:to>
      <xdr:col>10</xdr:col>
      <xdr:colOff>210820</xdr:colOff>
      <xdr:row>15</xdr:row>
      <xdr:rowOff>163195</xdr:rowOff>
    </xdr:to>
    <xdr:sp>
      <xdr:nvSpPr>
        <xdr:cNvPr id="31" name="Text Box 30"/>
        <xdr:cNvSpPr txBox="1"/>
      </xdr:nvSpPr>
      <xdr:spPr>
        <a:xfrm>
          <a:off x="4430395" y="1461770"/>
          <a:ext cx="1876425" cy="144462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600" b="1"/>
            <a:t>Average</a:t>
          </a:r>
          <a:endParaRPr lang="en-US" altLang="en-GB" sz="2600" b="1"/>
        </a:p>
        <a:p>
          <a:pPr algn="l"/>
          <a:r>
            <a:rPr lang="en-US" altLang="en-GB" sz="2600" b="1"/>
            <a:t>GPA in CSE</a:t>
          </a:r>
          <a:endParaRPr lang="en-US" altLang="en-GB" sz="2600" b="1"/>
        </a:p>
        <a:p>
          <a:pPr algn="l"/>
          <a:r>
            <a:rPr lang="en-US" altLang="en-GB" sz="2600" b="1"/>
            <a:t>8.1</a:t>
          </a:r>
          <a:endParaRPr lang="en-US" altLang="en-GB" sz="2600" b="1"/>
        </a:p>
        <a:p>
          <a:pPr algn="l"/>
          <a:endParaRPr lang="en-US" altLang="en-GB" sz="2600" b="1"/>
        </a:p>
      </xdr:txBody>
    </xdr:sp>
    <xdr:clientData/>
  </xdr:twoCellAnchor>
  <xdr:twoCellAnchor>
    <xdr:from>
      <xdr:col>14</xdr:col>
      <xdr:colOff>344170</xdr:colOff>
      <xdr:row>8</xdr:row>
      <xdr:rowOff>1905</xdr:rowOff>
    </xdr:from>
    <xdr:to>
      <xdr:col>18</xdr:col>
      <xdr:colOff>417830</xdr:colOff>
      <xdr:row>16</xdr:row>
      <xdr:rowOff>15240</xdr:rowOff>
    </xdr:to>
    <xdr:sp>
      <xdr:nvSpPr>
        <xdr:cNvPr id="36" name="Rounded Rectangle 35"/>
        <xdr:cNvSpPr/>
      </xdr:nvSpPr>
      <xdr:spPr>
        <a:xfrm>
          <a:off x="8878570" y="1464945"/>
          <a:ext cx="2512060" cy="147637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14</xdr:col>
      <xdr:colOff>325120</xdr:colOff>
      <xdr:row>7</xdr:row>
      <xdr:rowOff>176530</xdr:rowOff>
    </xdr:from>
    <xdr:to>
      <xdr:col>16</xdr:col>
      <xdr:colOff>95250</xdr:colOff>
      <xdr:row>16</xdr:row>
      <xdr:rowOff>38735</xdr:rowOff>
    </xdr:to>
    <xdr:sp>
      <xdr:nvSpPr>
        <xdr:cNvPr id="37" name="Rounded Rectangle 36"/>
        <xdr:cNvSpPr/>
      </xdr:nvSpPr>
      <xdr:spPr>
        <a:xfrm>
          <a:off x="8859520" y="1456690"/>
          <a:ext cx="989330" cy="1508125"/>
        </a:xfrm>
        <a:prstGeom prst="roundRect">
          <a:avLst/>
        </a:prstGeom>
        <a:solidFill>
          <a:schemeClr val="accent3">
            <a:lumMod val="50000"/>
          </a:schemeClr>
        </a:solidFill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16</xdr:col>
      <xdr:colOff>92710</xdr:colOff>
      <xdr:row>8</xdr:row>
      <xdr:rowOff>44450</xdr:rowOff>
    </xdr:from>
    <xdr:to>
      <xdr:col>18</xdr:col>
      <xdr:colOff>384810</xdr:colOff>
      <xdr:row>16</xdr:row>
      <xdr:rowOff>3175</xdr:rowOff>
    </xdr:to>
    <xdr:sp>
      <xdr:nvSpPr>
        <xdr:cNvPr id="38" name="Text Box 37"/>
        <xdr:cNvSpPr txBox="1"/>
      </xdr:nvSpPr>
      <xdr:spPr>
        <a:xfrm>
          <a:off x="9846310" y="1507490"/>
          <a:ext cx="1511300" cy="142176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200" b="1"/>
            <a:t>Average GPA in CE</a:t>
          </a:r>
          <a:endParaRPr lang="en-US" altLang="en-GB" sz="2400" b="1"/>
        </a:p>
        <a:p>
          <a:pPr algn="l"/>
          <a:r>
            <a:rPr lang="en-US" altLang="en-GB" sz="2400" b="1"/>
            <a:t>8</a:t>
          </a:r>
          <a:endParaRPr lang="en-US" altLang="en-GB" sz="2400" b="1"/>
        </a:p>
        <a:p>
          <a:pPr algn="l"/>
          <a:endParaRPr lang="en-US" altLang="en-GB" sz="2400" b="1"/>
        </a:p>
      </xdr:txBody>
    </xdr:sp>
    <xdr:clientData/>
  </xdr:twoCellAnchor>
  <xdr:twoCellAnchor>
    <xdr:from>
      <xdr:col>22</xdr:col>
      <xdr:colOff>567055</xdr:colOff>
      <xdr:row>7</xdr:row>
      <xdr:rowOff>133985</xdr:rowOff>
    </xdr:from>
    <xdr:to>
      <xdr:col>28</xdr:col>
      <xdr:colOff>10795</xdr:colOff>
      <xdr:row>16</xdr:row>
      <xdr:rowOff>46355</xdr:rowOff>
    </xdr:to>
    <xdr:sp>
      <xdr:nvSpPr>
        <xdr:cNvPr id="39" name="Rounded Rectangle 38"/>
        <xdr:cNvSpPr/>
      </xdr:nvSpPr>
      <xdr:spPr>
        <a:xfrm>
          <a:off x="13978255" y="1414145"/>
          <a:ext cx="3101340" cy="155829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22</xdr:col>
      <xdr:colOff>566420</xdr:colOff>
      <xdr:row>7</xdr:row>
      <xdr:rowOff>120650</xdr:rowOff>
    </xdr:from>
    <xdr:to>
      <xdr:col>24</xdr:col>
      <xdr:colOff>394335</xdr:colOff>
      <xdr:row>16</xdr:row>
      <xdr:rowOff>46355</xdr:rowOff>
    </xdr:to>
    <xdr:sp>
      <xdr:nvSpPr>
        <xdr:cNvPr id="40" name="Rounded Rectangle 39"/>
        <xdr:cNvSpPr/>
      </xdr:nvSpPr>
      <xdr:spPr>
        <a:xfrm>
          <a:off x="13977620" y="1400810"/>
          <a:ext cx="1047115" cy="1571625"/>
        </a:xfrm>
        <a:prstGeom prst="roundRect">
          <a:avLst/>
        </a:prstGeom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24</xdr:col>
      <xdr:colOff>436880</xdr:colOff>
      <xdr:row>8</xdr:row>
      <xdr:rowOff>58420</xdr:rowOff>
    </xdr:from>
    <xdr:to>
      <xdr:col>27</xdr:col>
      <xdr:colOff>544830</xdr:colOff>
      <xdr:row>15</xdr:row>
      <xdr:rowOff>55880</xdr:rowOff>
    </xdr:to>
    <xdr:sp>
      <xdr:nvSpPr>
        <xdr:cNvPr id="41" name="Text Box 40"/>
        <xdr:cNvSpPr txBox="1"/>
      </xdr:nvSpPr>
      <xdr:spPr>
        <a:xfrm>
          <a:off x="15067280" y="1521460"/>
          <a:ext cx="1936750" cy="127762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400" b="1"/>
            <a:t>Highest GPA in ME</a:t>
          </a:r>
          <a:endParaRPr lang="en-US" altLang="en-GB" sz="2400" b="1"/>
        </a:p>
        <a:p>
          <a:pPr algn="l"/>
          <a:r>
            <a:rPr lang="en-US" altLang="en-GB" sz="2400" b="1"/>
            <a:t>8.08</a:t>
          </a:r>
          <a:endParaRPr lang="en-US" altLang="en-GB" sz="1800" b="1"/>
        </a:p>
        <a:p>
          <a:pPr algn="l"/>
          <a:endParaRPr lang="en-US" altLang="en-GB" sz="1800" b="1"/>
        </a:p>
      </xdr:txBody>
    </xdr:sp>
    <xdr:clientData/>
  </xdr:twoCellAnchor>
  <xdr:twoCellAnchor>
    <xdr:from>
      <xdr:col>28</xdr:col>
      <xdr:colOff>59055</xdr:colOff>
      <xdr:row>7</xdr:row>
      <xdr:rowOff>147955</xdr:rowOff>
    </xdr:from>
    <xdr:to>
      <xdr:col>33</xdr:col>
      <xdr:colOff>150495</xdr:colOff>
      <xdr:row>16</xdr:row>
      <xdr:rowOff>22225</xdr:rowOff>
    </xdr:to>
    <xdr:sp>
      <xdr:nvSpPr>
        <xdr:cNvPr id="42" name="Rounded Rectangle 41"/>
        <xdr:cNvSpPr/>
      </xdr:nvSpPr>
      <xdr:spPr>
        <a:xfrm>
          <a:off x="17127855" y="1428115"/>
          <a:ext cx="3139440" cy="1520190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28</xdr:col>
      <xdr:colOff>39370</xdr:colOff>
      <xdr:row>7</xdr:row>
      <xdr:rowOff>146050</xdr:rowOff>
    </xdr:from>
    <xdr:to>
      <xdr:col>29</xdr:col>
      <xdr:colOff>419735</xdr:colOff>
      <xdr:row>16</xdr:row>
      <xdr:rowOff>14605</xdr:rowOff>
    </xdr:to>
    <xdr:sp>
      <xdr:nvSpPr>
        <xdr:cNvPr id="43" name="Rounded Rectangle 42"/>
        <xdr:cNvSpPr/>
      </xdr:nvSpPr>
      <xdr:spPr>
        <a:xfrm>
          <a:off x="17108170" y="1426210"/>
          <a:ext cx="989965" cy="1514475"/>
        </a:xfrm>
        <a:prstGeom prst="roundRect">
          <a:avLst/>
        </a:prstGeom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29</xdr:col>
      <xdr:colOff>480060</xdr:colOff>
      <xdr:row>7</xdr:row>
      <xdr:rowOff>161925</xdr:rowOff>
    </xdr:from>
    <xdr:to>
      <xdr:col>33</xdr:col>
      <xdr:colOff>42545</xdr:colOff>
      <xdr:row>15</xdr:row>
      <xdr:rowOff>82550</xdr:rowOff>
    </xdr:to>
    <xdr:sp>
      <xdr:nvSpPr>
        <xdr:cNvPr id="44" name="Text Box 43"/>
        <xdr:cNvSpPr txBox="1"/>
      </xdr:nvSpPr>
      <xdr:spPr>
        <a:xfrm>
          <a:off x="18158460" y="1442085"/>
          <a:ext cx="2000885" cy="138366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600" b="1"/>
            <a:t>Highest GPA in EEE</a:t>
          </a:r>
          <a:endParaRPr lang="en-US" altLang="en-GB" sz="2600" b="1"/>
        </a:p>
        <a:p>
          <a:pPr algn="l"/>
          <a:r>
            <a:rPr lang="en-US" altLang="en-GB" sz="2600" b="1"/>
            <a:t>8.28</a:t>
          </a:r>
          <a:endParaRPr lang="en-US" altLang="en-GB" sz="2600" b="1"/>
        </a:p>
      </xdr:txBody>
    </xdr:sp>
    <xdr:clientData/>
  </xdr:twoCellAnchor>
  <xdr:twoCellAnchor>
    <xdr:from>
      <xdr:col>38</xdr:col>
      <xdr:colOff>83820</xdr:colOff>
      <xdr:row>7</xdr:row>
      <xdr:rowOff>52070</xdr:rowOff>
    </xdr:from>
    <xdr:to>
      <xdr:col>43</xdr:col>
      <xdr:colOff>5080</xdr:colOff>
      <xdr:row>15</xdr:row>
      <xdr:rowOff>127635</xdr:rowOff>
    </xdr:to>
    <xdr:sp>
      <xdr:nvSpPr>
        <xdr:cNvPr id="45" name="Rounded Rectangle 44"/>
        <xdr:cNvSpPr/>
      </xdr:nvSpPr>
      <xdr:spPr>
        <a:xfrm>
          <a:off x="23248620" y="1332230"/>
          <a:ext cx="2969260" cy="1538605"/>
        </a:xfrm>
        <a:prstGeom prst="roundRect">
          <a:avLst/>
        </a:prstGeom>
        <a:solidFill>
          <a:schemeClr val="bg1">
            <a:lumMod val="85000"/>
          </a:schemeClr>
        </a:solidFill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38</xdr:col>
      <xdr:colOff>102870</xdr:colOff>
      <xdr:row>7</xdr:row>
      <xdr:rowOff>38735</xdr:rowOff>
    </xdr:from>
    <xdr:to>
      <xdr:col>39</xdr:col>
      <xdr:colOff>483235</xdr:colOff>
      <xdr:row>15</xdr:row>
      <xdr:rowOff>157480</xdr:rowOff>
    </xdr:to>
    <xdr:sp>
      <xdr:nvSpPr>
        <xdr:cNvPr id="46" name="Rounded Rectangle 45"/>
        <xdr:cNvSpPr/>
      </xdr:nvSpPr>
      <xdr:spPr>
        <a:xfrm>
          <a:off x="23267670" y="1318895"/>
          <a:ext cx="989965" cy="1581785"/>
        </a:xfrm>
        <a:prstGeom prst="roundRect">
          <a:avLst/>
        </a:prstGeom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39</xdr:col>
      <xdr:colOff>582930</xdr:colOff>
      <xdr:row>8</xdr:row>
      <xdr:rowOff>63500</xdr:rowOff>
    </xdr:from>
    <xdr:to>
      <xdr:col>42</xdr:col>
      <xdr:colOff>415290</xdr:colOff>
      <xdr:row>15</xdr:row>
      <xdr:rowOff>39370</xdr:rowOff>
    </xdr:to>
    <xdr:sp>
      <xdr:nvSpPr>
        <xdr:cNvPr id="47" name="Text Box 46"/>
        <xdr:cNvSpPr txBox="1"/>
      </xdr:nvSpPr>
      <xdr:spPr>
        <a:xfrm>
          <a:off x="24357330" y="1526540"/>
          <a:ext cx="1661160" cy="125603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2400" b="1"/>
            <a:t>Highest GPA in CE</a:t>
          </a:r>
          <a:endParaRPr lang="en-US" altLang="en-GB" sz="2400" b="1"/>
        </a:p>
        <a:p>
          <a:pPr algn="l"/>
          <a:r>
            <a:rPr lang="en-US" altLang="en-GB" sz="2400" b="1"/>
            <a:t>9.08</a:t>
          </a:r>
          <a:endParaRPr lang="en-US" altLang="en-GB" sz="1800" b="1"/>
        </a:p>
        <a:p>
          <a:pPr algn="l"/>
          <a:endParaRPr lang="en-US" altLang="en-GB" sz="1800" b="1"/>
        </a:p>
      </xdr:txBody>
    </xdr:sp>
    <xdr:clientData/>
  </xdr:twoCellAnchor>
  <xdr:twoCellAnchor>
    <xdr:from>
      <xdr:col>31</xdr:col>
      <xdr:colOff>84455</xdr:colOff>
      <xdr:row>51</xdr:row>
      <xdr:rowOff>104775</xdr:rowOff>
    </xdr:from>
    <xdr:to>
      <xdr:col>49</xdr:col>
      <xdr:colOff>222885</xdr:colOff>
      <xdr:row>78</xdr:row>
      <xdr:rowOff>142240</xdr:rowOff>
    </xdr:to>
    <xdr:graphicFrame>
      <xdr:nvGraphicFramePr>
        <xdr:cNvPr id="63" name="Chart 62"/>
        <xdr:cNvGraphicFramePr/>
      </xdr:nvGraphicFramePr>
      <xdr:xfrm>
        <a:off x="18982055" y="9431655"/>
        <a:ext cx="11111230" cy="4975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9.741099537" refreshedBy="krish" recordCount="30">
  <cacheSource type="worksheet">
    <worksheetSource name="Table1"/>
  </cacheSource>
  <cacheFields count="14">
    <cacheField name="Student ID" numFmtId="0">
      <sharedItems count="3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</sharedItems>
    </cacheField>
    <cacheField name="Gender" numFmtId="0">
      <sharedItems count="2">
        <s v="Male"/>
        <s v="Female"/>
      </sharedItems>
    </cacheField>
    <cacheField name="Department" numFmtId="0">
      <sharedItems count="5">
        <s v="ECE"/>
        <s v="CSE"/>
        <s v="EEE"/>
        <s v="ME"/>
        <s v="CE"/>
      </sharedItems>
    </cacheField>
    <cacheField name="Semester" numFmtId="0">
      <sharedItems containsSemiMixedTypes="0" containsString="0" containsNumber="1" containsInteger="1" minValue="3" maxValue="3" count="1">
        <n v="3"/>
      </sharedItems>
    </cacheField>
    <cacheField name="Attendance %" numFmtId="0">
      <sharedItems containsSemiMixedTypes="0" containsString="0" containsNumber="1" containsInteger="1" minValue="67" maxValue="96" count="29">
        <n v="82"/>
        <n v="91"/>
        <n v="76"/>
        <n v="88"/>
        <n v="69"/>
        <n v="95"/>
        <n v="85"/>
        <n v="73"/>
        <n v="80"/>
        <n v="92"/>
        <n v="67"/>
        <n v="89"/>
        <n v="74"/>
        <n v="81"/>
        <n v="90"/>
        <n v="96"/>
        <n v="78"/>
        <n v="83"/>
        <n v="71"/>
        <n v="87"/>
        <n v="79"/>
        <n v="93"/>
        <n v="68"/>
        <n v="84"/>
        <n v="77"/>
        <n v="75"/>
        <n v="86"/>
        <n v="72"/>
        <n v="94"/>
      </sharedItems>
    </cacheField>
    <cacheField name="Sub1" numFmtId="0">
      <sharedItems containsSemiMixedTypes="0" containsString="0" containsNumber="1" containsInteger="1" minValue="55" maxValue="94" count="16">
        <n v="78"/>
        <n v="88"/>
        <n v="65"/>
        <n v="82"/>
        <n v="60"/>
        <n v="90"/>
        <n v="68"/>
        <n v="75"/>
        <n v="55"/>
        <n v="84"/>
        <n v="70"/>
        <n v="85"/>
        <n v="94"/>
        <n v="72"/>
        <n v="74"/>
        <n v="80"/>
      </sharedItems>
    </cacheField>
    <cacheField name="Sub2" numFmtId="0">
      <sharedItems containsSemiMixedTypes="0" containsString="0" containsNumber="1" containsInteger="1" minValue="60" maxValue="92" count="19">
        <n v="85"/>
        <n v="90"/>
        <n v="70"/>
        <n v="79"/>
        <n v="64"/>
        <n v="92"/>
        <n v="80"/>
        <n v="77"/>
        <n v="86"/>
        <n v="60"/>
        <n v="68"/>
        <n v="87"/>
        <n v="74"/>
        <n v="84"/>
        <n v="76"/>
        <n v="62"/>
        <n v="78"/>
        <n v="72"/>
        <n v="67"/>
      </sharedItems>
    </cacheField>
    <cacheField name="Sub3" numFmtId="0">
      <sharedItems containsSemiMixedTypes="0" containsString="0" containsNumber="1" containsInteger="1" minValue="58" maxValue="90" count="19">
        <n v="74"/>
        <n v="84"/>
        <n v="68"/>
        <n v="85"/>
        <n v="58"/>
        <n v="89"/>
        <n v="76"/>
        <n v="66"/>
        <n v="73"/>
        <n v="90"/>
        <n v="82"/>
        <n v="72"/>
        <n v="75"/>
        <n v="83"/>
        <n v="70"/>
        <n v="62"/>
        <n v="80"/>
        <n v="88"/>
        <n v="63"/>
      </sharedItems>
    </cacheField>
    <cacheField name="Sub4" numFmtId="0">
      <sharedItems containsSemiMixedTypes="0" containsString="0" containsNumber="1" containsInteger="1" minValue="62" maxValue="95" count="18">
        <n v="80"/>
        <n v="86"/>
        <n v="72"/>
        <n v="62"/>
        <n v="91"/>
        <n v="82"/>
        <n v="78"/>
        <n v="85"/>
        <n v="88"/>
        <n v="71"/>
        <n v="95"/>
        <n v="76"/>
        <n v="70"/>
        <n v="94"/>
        <n v="65"/>
        <n v="79"/>
        <n v="74"/>
        <n v="87"/>
      </sharedItems>
    </cacheField>
    <cacheField name="Sub5" numFmtId="0">
      <sharedItems containsSemiMixedTypes="0" containsString="0" containsNumber="1" containsInteger="1" minValue="57" maxValue="94" count="22">
        <n v="88"/>
        <n v="92"/>
        <n v="75"/>
        <n v="78"/>
        <n v="66"/>
        <n v="94"/>
        <n v="84"/>
        <n v="69"/>
        <n v="76"/>
        <n v="89"/>
        <n v="57"/>
        <n v="85"/>
        <n v="79"/>
        <n v="86"/>
        <n v="93"/>
        <n v="73"/>
        <n v="83"/>
        <n v="91"/>
        <n v="63"/>
        <n v="81"/>
        <n v="71"/>
        <n v="68"/>
      </sharedItems>
    </cacheField>
    <cacheField name="Total Marks" numFmtId="0">
      <sharedItems containsSemiMixedTypes="0" containsString="0" containsNumber="1" containsInteger="1" minValue="292" maxValue="464" count="25">
        <n v="405"/>
        <n v="440"/>
        <n v="350"/>
        <n v="404"/>
        <n v="310"/>
        <n v="456"/>
        <n v="400"/>
        <n v="345"/>
        <n v="379"/>
        <n v="438"/>
        <n v="292"/>
        <n v="425"/>
        <n v="394"/>
        <n v="429"/>
        <n v="464"/>
        <n v="365"/>
        <n v="395"/>
        <n v="331"/>
        <n v="414"/>
        <n v="375"/>
        <n v="455"/>
        <n v="308"/>
        <n v="355"/>
        <n v="333"/>
        <n v="454"/>
      </sharedItems>
    </cacheField>
    <cacheField name="GPA" numFmtId="0">
      <sharedItems containsSemiMixedTypes="0" containsString="0" containsNumber="1" minValue="5.84" maxValue="9.28" count="25">
        <n v="8.1"/>
        <n v="8.8"/>
        <n v="7"/>
        <n v="8.08"/>
        <n v="6.2"/>
        <n v="9.12"/>
        <n v="8"/>
        <n v="6.9"/>
        <n v="7.58"/>
        <n v="8.76"/>
        <n v="5.84"/>
        <n v="8.5"/>
        <n v="7.88"/>
        <n v="8.58"/>
        <n v="9.28"/>
        <n v="7.3"/>
        <n v="7.9"/>
        <n v="6.62"/>
        <n v="8.28"/>
        <n v="7.5"/>
        <n v="9.1"/>
        <n v="6.16"/>
        <n v="7.1"/>
        <n v="6.66"/>
        <n v="9.08"/>
      </sharedItems>
    </cacheField>
    <cacheField name="Percentage" numFmtId="0">
      <sharedItems containsSemiMixedTypes="0" containsString="0" containsNumber="1" minValue="58.4" maxValue="92.8" count="25">
        <n v="81"/>
        <n v="88"/>
        <n v="70"/>
        <n v="80.8"/>
        <n v="62"/>
        <n v="91.2"/>
        <n v="80"/>
        <n v="69"/>
        <n v="75.8"/>
        <n v="87.6"/>
        <n v="58.4"/>
        <n v="85"/>
        <n v="78.8"/>
        <n v="85.8"/>
        <n v="92.8"/>
        <n v="73"/>
        <n v="79"/>
        <n v="66.2"/>
        <n v="82.8"/>
        <n v="75"/>
        <n v="91"/>
        <n v="61.6"/>
        <n v="71"/>
        <n v="66.6"/>
        <n v="90.8"/>
      </sharedItems>
    </cacheField>
    <cacheField name="Performance Status" numFmtId="0">
      <sharedItems count="4">
        <s v="Good"/>
        <s v="Improve"/>
        <s v="Excellent"/>
        <s v=" Improve"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7.4953935185" refreshedBy="krish" recordCount="5">
  <cacheSource type="worksheet">
    <worksheetSource name="Table3"/>
  </cacheSource>
  <cacheFields count="5">
    <cacheField name="DEPT" numFmtId="0">
      <sharedItems count="5">
        <s v="ECE"/>
        <s v="CSE"/>
        <s v="ME"/>
        <s v="EEE"/>
        <s v="CE"/>
      </sharedItems>
    </cacheField>
    <cacheField name="Average gpa" numFmtId="0">
      <sharedItems containsSemiMixedTypes="0" containsString="0" containsNumber="1" minValue="0" maxValue="8.10666666666667" count="5">
        <n v="8.10666666666667"/>
        <n v="8.1"/>
        <n v="7.47"/>
        <n v="7.248"/>
        <n v="8"/>
      </sharedItems>
    </cacheField>
    <cacheField name="Height gpa" numFmtId="0">
      <sharedItems containsSemiMixedTypes="0" containsString="0" containsNumber="1" minValue="0" maxValue="9.28" count="5">
        <n v="9.28"/>
        <n v="9.1"/>
        <n v="8.08"/>
        <n v="8.28"/>
        <n v="9.08"/>
      </sharedItems>
    </cacheField>
    <cacheField name="Lowest gpa" numFmtId="0">
      <sharedItems containsSemiMixedTypes="0" containsString="0" containsNumber="1" minValue="0" maxValue="6.9" count="5">
        <n v="5.84"/>
        <n v="6.9"/>
        <n v="6.62"/>
        <n v="6.16"/>
        <n v="6.2"/>
      </sharedItems>
    </cacheField>
    <cacheField name="No. of students" numFmtId="0">
      <sharedItems containsSemiMixedTypes="0" containsString="0" containsNumber="1" containsInteger="1" minValue="0" maxValue="6" count="2">
        <n v="6"/>
        <n v="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1"/>
    <x v="1"/>
    <x v="1"/>
    <x v="1"/>
    <x v="0"/>
  </r>
  <r>
    <x v="2"/>
    <x v="0"/>
    <x v="2"/>
    <x v="0"/>
    <x v="2"/>
    <x v="2"/>
    <x v="2"/>
    <x v="2"/>
    <x v="2"/>
    <x v="2"/>
    <x v="2"/>
    <x v="2"/>
    <x v="2"/>
    <x v="1"/>
  </r>
  <r>
    <x v="3"/>
    <x v="1"/>
    <x v="3"/>
    <x v="0"/>
    <x v="3"/>
    <x v="3"/>
    <x v="3"/>
    <x v="3"/>
    <x v="0"/>
    <x v="3"/>
    <x v="3"/>
    <x v="3"/>
    <x v="3"/>
    <x v="0"/>
  </r>
  <r>
    <x v="4"/>
    <x v="0"/>
    <x v="4"/>
    <x v="0"/>
    <x v="4"/>
    <x v="4"/>
    <x v="4"/>
    <x v="4"/>
    <x v="3"/>
    <x v="4"/>
    <x v="4"/>
    <x v="4"/>
    <x v="4"/>
    <x v="1"/>
  </r>
  <r>
    <x v="5"/>
    <x v="1"/>
    <x v="0"/>
    <x v="0"/>
    <x v="5"/>
    <x v="5"/>
    <x v="5"/>
    <x v="5"/>
    <x v="4"/>
    <x v="5"/>
    <x v="5"/>
    <x v="5"/>
    <x v="5"/>
    <x v="2"/>
  </r>
  <r>
    <x v="6"/>
    <x v="0"/>
    <x v="1"/>
    <x v="0"/>
    <x v="6"/>
    <x v="0"/>
    <x v="6"/>
    <x v="6"/>
    <x v="5"/>
    <x v="6"/>
    <x v="6"/>
    <x v="6"/>
    <x v="6"/>
    <x v="1"/>
  </r>
  <r>
    <x v="7"/>
    <x v="1"/>
    <x v="2"/>
    <x v="0"/>
    <x v="7"/>
    <x v="6"/>
    <x v="2"/>
    <x v="7"/>
    <x v="2"/>
    <x v="7"/>
    <x v="7"/>
    <x v="7"/>
    <x v="7"/>
    <x v="1"/>
  </r>
  <r>
    <x v="8"/>
    <x v="0"/>
    <x v="3"/>
    <x v="0"/>
    <x v="8"/>
    <x v="7"/>
    <x v="7"/>
    <x v="8"/>
    <x v="6"/>
    <x v="8"/>
    <x v="8"/>
    <x v="8"/>
    <x v="8"/>
    <x v="1"/>
  </r>
  <r>
    <x v="9"/>
    <x v="1"/>
    <x v="4"/>
    <x v="0"/>
    <x v="9"/>
    <x v="1"/>
    <x v="8"/>
    <x v="9"/>
    <x v="7"/>
    <x v="9"/>
    <x v="9"/>
    <x v="9"/>
    <x v="9"/>
    <x v="0"/>
  </r>
  <r>
    <x v="10"/>
    <x v="0"/>
    <x v="0"/>
    <x v="0"/>
    <x v="10"/>
    <x v="8"/>
    <x v="9"/>
    <x v="4"/>
    <x v="3"/>
    <x v="10"/>
    <x v="10"/>
    <x v="10"/>
    <x v="10"/>
    <x v="1"/>
  </r>
  <r>
    <x v="11"/>
    <x v="1"/>
    <x v="1"/>
    <x v="0"/>
    <x v="11"/>
    <x v="9"/>
    <x v="8"/>
    <x v="10"/>
    <x v="8"/>
    <x v="11"/>
    <x v="11"/>
    <x v="11"/>
    <x v="11"/>
    <x v="0"/>
  </r>
  <r>
    <x v="12"/>
    <x v="0"/>
    <x v="2"/>
    <x v="0"/>
    <x v="12"/>
    <x v="10"/>
    <x v="10"/>
    <x v="11"/>
    <x v="9"/>
    <x v="7"/>
    <x v="2"/>
    <x v="2"/>
    <x v="2"/>
    <x v="1"/>
  </r>
  <r>
    <x v="13"/>
    <x v="1"/>
    <x v="3"/>
    <x v="0"/>
    <x v="13"/>
    <x v="0"/>
    <x v="6"/>
    <x v="12"/>
    <x v="5"/>
    <x v="12"/>
    <x v="12"/>
    <x v="12"/>
    <x v="12"/>
    <x v="1"/>
  </r>
  <r>
    <x v="14"/>
    <x v="0"/>
    <x v="4"/>
    <x v="0"/>
    <x v="14"/>
    <x v="11"/>
    <x v="11"/>
    <x v="13"/>
    <x v="8"/>
    <x v="13"/>
    <x v="13"/>
    <x v="13"/>
    <x v="13"/>
    <x v="0"/>
  </r>
  <r>
    <x v="15"/>
    <x v="1"/>
    <x v="0"/>
    <x v="0"/>
    <x v="15"/>
    <x v="12"/>
    <x v="5"/>
    <x v="9"/>
    <x v="10"/>
    <x v="14"/>
    <x v="14"/>
    <x v="14"/>
    <x v="14"/>
    <x v="2"/>
  </r>
  <r>
    <x v="16"/>
    <x v="0"/>
    <x v="1"/>
    <x v="0"/>
    <x v="16"/>
    <x v="13"/>
    <x v="12"/>
    <x v="14"/>
    <x v="11"/>
    <x v="15"/>
    <x v="15"/>
    <x v="15"/>
    <x v="15"/>
    <x v="1"/>
  </r>
  <r>
    <x v="17"/>
    <x v="1"/>
    <x v="2"/>
    <x v="0"/>
    <x v="17"/>
    <x v="0"/>
    <x v="6"/>
    <x v="6"/>
    <x v="5"/>
    <x v="12"/>
    <x v="16"/>
    <x v="16"/>
    <x v="16"/>
    <x v="1"/>
  </r>
  <r>
    <x v="18"/>
    <x v="0"/>
    <x v="3"/>
    <x v="0"/>
    <x v="18"/>
    <x v="2"/>
    <x v="10"/>
    <x v="15"/>
    <x v="12"/>
    <x v="4"/>
    <x v="17"/>
    <x v="17"/>
    <x v="17"/>
    <x v="1"/>
  </r>
  <r>
    <x v="19"/>
    <x v="1"/>
    <x v="4"/>
    <x v="0"/>
    <x v="19"/>
    <x v="3"/>
    <x v="13"/>
    <x v="16"/>
    <x v="7"/>
    <x v="16"/>
    <x v="18"/>
    <x v="18"/>
    <x v="18"/>
    <x v="0"/>
  </r>
  <r>
    <x v="20"/>
    <x v="0"/>
    <x v="0"/>
    <x v="0"/>
    <x v="20"/>
    <x v="14"/>
    <x v="14"/>
    <x v="11"/>
    <x v="6"/>
    <x v="2"/>
    <x v="19"/>
    <x v="19"/>
    <x v="19"/>
    <x v="1"/>
  </r>
  <r>
    <x v="21"/>
    <x v="1"/>
    <x v="1"/>
    <x v="0"/>
    <x v="21"/>
    <x v="5"/>
    <x v="5"/>
    <x v="17"/>
    <x v="13"/>
    <x v="17"/>
    <x v="20"/>
    <x v="20"/>
    <x v="20"/>
    <x v="2"/>
  </r>
  <r>
    <x v="22"/>
    <x v="0"/>
    <x v="2"/>
    <x v="0"/>
    <x v="22"/>
    <x v="4"/>
    <x v="15"/>
    <x v="4"/>
    <x v="14"/>
    <x v="18"/>
    <x v="21"/>
    <x v="21"/>
    <x v="21"/>
    <x v="1"/>
  </r>
  <r>
    <x v="23"/>
    <x v="1"/>
    <x v="3"/>
    <x v="0"/>
    <x v="23"/>
    <x v="15"/>
    <x v="16"/>
    <x v="10"/>
    <x v="15"/>
    <x v="19"/>
    <x v="6"/>
    <x v="6"/>
    <x v="6"/>
    <x v="1"/>
  </r>
  <r>
    <x v="24"/>
    <x v="0"/>
    <x v="4"/>
    <x v="0"/>
    <x v="24"/>
    <x v="10"/>
    <x v="17"/>
    <x v="2"/>
    <x v="16"/>
    <x v="20"/>
    <x v="22"/>
    <x v="22"/>
    <x v="22"/>
    <x v="1"/>
  </r>
  <r>
    <x v="25"/>
    <x v="1"/>
    <x v="0"/>
    <x v="0"/>
    <x v="1"/>
    <x v="1"/>
    <x v="8"/>
    <x v="9"/>
    <x v="17"/>
    <x v="9"/>
    <x v="1"/>
    <x v="1"/>
    <x v="1"/>
    <x v="0"/>
  </r>
  <r>
    <x v="26"/>
    <x v="0"/>
    <x v="1"/>
    <x v="0"/>
    <x v="25"/>
    <x v="6"/>
    <x v="2"/>
    <x v="7"/>
    <x v="2"/>
    <x v="7"/>
    <x v="7"/>
    <x v="7"/>
    <x v="7"/>
    <x v="1"/>
  </r>
  <r>
    <x v="27"/>
    <x v="1"/>
    <x v="2"/>
    <x v="0"/>
    <x v="26"/>
    <x v="3"/>
    <x v="13"/>
    <x v="16"/>
    <x v="7"/>
    <x v="16"/>
    <x v="18"/>
    <x v="18"/>
    <x v="18"/>
    <x v="0"/>
  </r>
  <r>
    <x v="28"/>
    <x v="0"/>
    <x v="3"/>
    <x v="0"/>
    <x v="27"/>
    <x v="2"/>
    <x v="18"/>
    <x v="18"/>
    <x v="12"/>
    <x v="21"/>
    <x v="23"/>
    <x v="23"/>
    <x v="23"/>
    <x v="1"/>
  </r>
  <r>
    <x v="29"/>
    <x v="1"/>
    <x v="4"/>
    <x v="0"/>
    <x v="28"/>
    <x v="5"/>
    <x v="5"/>
    <x v="17"/>
    <x v="4"/>
    <x v="14"/>
    <x v="24"/>
    <x v="24"/>
    <x v="24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</r>
  <r>
    <x v="1"/>
    <x v="1"/>
    <x v="1"/>
    <x v="1"/>
    <x v="0"/>
  </r>
  <r>
    <x v="2"/>
    <x v="2"/>
    <x v="2"/>
    <x v="2"/>
    <x v="0"/>
  </r>
  <r>
    <x v="3"/>
    <x v="3"/>
    <x v="3"/>
    <x v="3"/>
    <x v="1"/>
  </r>
  <r>
    <x v="4"/>
    <x v="4"/>
    <x v="4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14"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howAll="0">
      <items count="26">
        <item x="10"/>
        <item x="21"/>
        <item x="4"/>
        <item x="17"/>
        <item x="23"/>
        <item x="7"/>
        <item x="2"/>
        <item x="22"/>
        <item x="15"/>
        <item x="19"/>
        <item x="8"/>
        <item x="12"/>
        <item x="16"/>
        <item x="6"/>
        <item x="3"/>
        <item x="0"/>
        <item x="18"/>
        <item x="11"/>
        <item x="13"/>
        <item x="9"/>
        <item x="1"/>
        <item x="24"/>
        <item x="20"/>
        <item x="5"/>
        <item x="1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">
        <item x="0"/>
        <item m="1" x="3"/>
        <item x="2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GPA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N12:P43" firstHeaderRow="0" firstDataRow="1" firstDataCol="1"/>
  <pivotFields count="14">
    <pivotField axis="axisRow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howAll="0">
      <items count="26">
        <item x="10"/>
        <item x="21"/>
        <item x="4"/>
        <item x="17"/>
        <item x="23"/>
        <item x="7"/>
        <item x="2"/>
        <item x="22"/>
        <item x="15"/>
        <item x="19"/>
        <item x="8"/>
        <item x="12"/>
        <item x="16"/>
        <item x="6"/>
        <item x="3"/>
        <item x="0"/>
        <item x="18"/>
        <item x="11"/>
        <item x="13"/>
        <item x="9"/>
        <item x="1"/>
        <item x="24"/>
        <item x="20"/>
        <item x="5"/>
        <item x="1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">
        <item x="0"/>
        <item m="1" x="3"/>
        <item x="2"/>
        <item x="1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PA" fld="11" baseField="0" baseItem="0"/>
    <dataField name="Sum of Attendance %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Y5:Z36" firstHeaderRow="1" firstDataRow="1" firstDataCol="1"/>
  <pivotFields count="14">
    <pivotField axis="axisRow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26">
        <item x="10"/>
        <item x="21"/>
        <item x="4"/>
        <item x="17"/>
        <item x="23"/>
        <item x="7"/>
        <item x="2"/>
        <item x="22"/>
        <item x="15"/>
        <item x="19"/>
        <item x="8"/>
        <item x="12"/>
        <item x="16"/>
        <item x="6"/>
        <item x="3"/>
        <item x="0"/>
        <item x="18"/>
        <item x="11"/>
        <item x="13"/>
        <item x="9"/>
        <item x="1"/>
        <item x="24"/>
        <item x="20"/>
        <item x="5"/>
        <item x="1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">
        <item x="0"/>
        <item m="1" x="3"/>
        <item x="2"/>
        <item x="1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 Marks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R6:W37" firstHeaderRow="0" firstDataRow="1" firstDataCol="1"/>
  <pivotFields count="14">
    <pivotField axis="axisRow"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26">
        <item x="10"/>
        <item x="21"/>
        <item x="4"/>
        <item x="17"/>
        <item x="23"/>
        <item x="7"/>
        <item x="2"/>
        <item x="22"/>
        <item x="15"/>
        <item x="19"/>
        <item x="8"/>
        <item x="12"/>
        <item x="16"/>
        <item x="6"/>
        <item x="3"/>
        <item x="0"/>
        <item x="18"/>
        <item x="11"/>
        <item x="13"/>
        <item x="9"/>
        <item x="1"/>
        <item x="24"/>
        <item x="20"/>
        <item x="5"/>
        <item x="14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">
        <item x="0"/>
        <item m="1" x="3"/>
        <item x="2"/>
        <item x="1"/>
        <item t="default"/>
      </items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ub1" fld="5" baseField="0" baseItem="0"/>
    <dataField name="Sum of Sub2" fld="6" baseField="0" baseItem="0"/>
    <dataField name="Sum of Sub3" fld="7" baseField="0" baseItem="0"/>
    <dataField name="Sum of Sub4" fld="8" baseField="0" baseItem="0"/>
    <dataField name="Sum of Sub5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4">
  <location ref="A3:B9" firstHeaderRow="1" firstDataRow="1" firstDataCol="1"/>
  <pivotFields count="5">
    <pivotField axis="axisRow" compact="0" showAll="0">
      <items count="6">
        <item x="4"/>
        <item x="1"/>
        <item x="0"/>
        <item x="3"/>
        <item x="2"/>
        <item t="default"/>
      </items>
    </pivotField>
    <pivotField dataField="1" compact="0" showAll="0">
      <items count="6">
        <item x="3"/>
        <item x="2"/>
        <item x="4"/>
        <item x="1"/>
        <item x="0"/>
        <item t="default"/>
      </items>
    </pivotField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verage gpa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7"/>
    <pivotTable tabId="3" name="PivotTable1"/>
    <pivotTable tabId="3" name="PivotTable2"/>
    <pivotTable tabId="3" name="PivotTable6"/>
  </pivotTables>
  <data>
    <tabular pivotCacheId="1">
      <items count="2"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udent_ID" sourceName="Student ID">
  <pivotTables>
    <pivotTable tabId="3" name="PivotTable6"/>
    <pivotTable tabId="3" name="PivotTable1"/>
    <pivotTable tabId="3" name="PivotTable2"/>
    <pivotTable tabId="3" name="PivotTable7"/>
  </pivotTables>
  <data>
    <tabular pivotCacheId="1">
      <items count="3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3" name="PivotTable6"/>
    <pivotTable tabId="3" name="PivotTable1"/>
    <pivotTable tabId="3" name="PivotTable2"/>
    <pivotTable tabId="3" name="PivotTable7"/>
  </pivotTables>
  <data>
    <tabular pivotCacheId="1">
      <items count="5">
        <i x="4" s="1"/>
        <i x="1" s="1"/>
        <i x="0" s="1"/>
        <i x="2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formance_Status" sourceName="Performance Status">
  <pivotTables>
    <pivotTable tabId="3" name="PivotTable6"/>
    <pivotTable tabId="3" name="PivotTable1"/>
    <pivotTable tabId="3" name="PivotTable2"/>
    <pivotTable tabId="3" name="PivotTable7"/>
  </pivotTables>
  <data>
    <tabular pivotCacheId="1">
      <items count="4">
        <i x="2" s="1"/>
        <i x="0" s="1"/>
        <i x="1" s="1"/>
        <i x="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style="SlicerStyleDark4" rowHeight="225425"/>
  <slicer name="Student ID" cache="Slicer_Student_ID" caption="Student ID" columnCount="2" style="SlicerStyleDark4" rowHeight="225425"/>
  <slicer name="Department" cache="Slicer_Department" caption="Department" columnCount="2" style="SlicerStyleDark4" rowHeight="225425"/>
  <slicer name="Performance Status 1" cache="Slicer_Performance_Status" caption="Performance Status" columnCount="2" style="SlicerStyleDark4" rowHeight="225425"/>
</slicers>
</file>

<file path=xl/tables/table1.xml><?xml version="1.0" encoding="utf-8"?>
<table xmlns="http://schemas.openxmlformats.org/spreadsheetml/2006/main" id="1" name="Table1" displayName="Table1" ref="A1:N32" totalsRowCount="1">
  <tableColumns count="14">
    <tableColumn id="1" name="Student ID"/>
    <tableColumn id="2" name="Gender"/>
    <tableColumn id="3" name="Department"/>
    <tableColumn id="4" name="Semester"/>
    <tableColumn id="5" name="Attendance %"/>
    <tableColumn id="6" name="Sub1"/>
    <tableColumn id="7" name="Sub2"/>
    <tableColumn id="8" name="Sub3"/>
    <tableColumn id="9" name="Sub4"/>
    <tableColumn id="10" name="Sub5"/>
    <tableColumn id="11" name="Total Marks"/>
    <tableColumn id="12" name="GPA">
      <calculatedColumnFormula>SUM(K2/500*10)</calculatedColumnFormula>
    </tableColumn>
    <tableColumn id="13" name="Percentage">
      <calculatedColumnFormula>SUM(K2/500*100)</calculatedColumnFormula>
    </tableColumn>
    <tableColumn id="14" name="Performance Status" dataDxfId="0">
      <calculatedColumnFormula>IF(L2&gt;9,"Excellent",IF(L2&gt;8,"Good"," Improve"))</calculatedColumnFormula>
    </tableColumn>
  </tableColumns>
  <tableStyleInfo name="TableStylePreset1_Accent5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P2:T7" totalsRowShown="0">
  <autoFilter xmlns:etc="http://www.wps.cn/officeDocument/2017/etCustomData" ref="P2:T7" etc:filterBottomFollowUsedRange="0"/>
  <tableColumns count="5">
    <tableColumn id="1" name="DEPT"/>
    <tableColumn id="2" name="Average gpa">
      <calculatedColumnFormula>AVERAGEIF(C2:C31,"CE",L2:L31)</calculatedColumnFormula>
    </tableColumn>
    <tableColumn id="3" name="Height gpa">
      <calculatedColumnFormula>_xlfn.MAXIFS(L2:L31,C2:C31,"CE")</calculatedColumnFormula>
    </tableColumn>
    <tableColumn id="4" name="Lowest gpa"/>
    <tableColumn id="5" name="No. of students">
      <calculatedColumnFormula>COUNTIF(C2:C31,"CE")</calculatedColumnFormula>
    </tableColumn>
  </tableColumns>
  <tableStyleInfo name="TableStylePreset4_Accen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Z43"/>
  <sheetViews>
    <sheetView zoomScale="77" zoomScaleNormal="77" topLeftCell="F1" workbookViewId="0">
      <selection activeCell="M13" sqref="M13"/>
    </sheetView>
  </sheetViews>
  <sheetFormatPr defaultColWidth="8.88888888888889" defaultRowHeight="14.4"/>
  <cols>
    <col min="1" max="1" width="14"/>
    <col min="2" max="2" width="11.8888888888889"/>
    <col min="14" max="14" width="12.6666666666667"/>
    <col min="15" max="16" width="20.1111111111111"/>
    <col min="17" max="18" width="12.6666666666667"/>
    <col min="19" max="23" width="11.8888888888889"/>
    <col min="25" max="25" width="12.6666666666667"/>
    <col min="26" max="26" width="19"/>
    <col min="27" max="27" width="18.4444444444444"/>
    <col min="28" max="28" width="20.1111111111111"/>
  </cols>
  <sheetData>
    <row r="3" spans="1:2">
      <c r="A3" t="s">
        <v>0</v>
      </c>
      <c r="B3" t="s">
        <v>1</v>
      </c>
    </row>
    <row r="4" spans="1:2">
      <c r="A4" t="s">
        <v>2</v>
      </c>
      <c r="B4">
        <v>48.64</v>
      </c>
    </row>
    <row r="5" spans="1:26">
      <c r="A5" t="s">
        <v>3</v>
      </c>
      <c r="B5">
        <v>48.6</v>
      </c>
      <c r="Y5" t="s">
        <v>4</v>
      </c>
      <c r="Z5" t="s">
        <v>5</v>
      </c>
    </row>
    <row r="6" spans="1:26">
      <c r="A6" t="s">
        <v>6</v>
      </c>
      <c r="B6">
        <v>43.24</v>
      </c>
      <c r="R6" t="s">
        <v>4</v>
      </c>
      <c r="S6" t="s">
        <v>7</v>
      </c>
      <c r="T6" t="s">
        <v>8</v>
      </c>
      <c r="U6" t="s">
        <v>9</v>
      </c>
      <c r="V6" t="s">
        <v>10</v>
      </c>
      <c r="W6" t="s">
        <v>11</v>
      </c>
      <c r="Y6" t="s">
        <v>12</v>
      </c>
      <c r="Z6">
        <v>405</v>
      </c>
    </row>
    <row r="7" spans="1:26">
      <c r="A7" t="s">
        <v>13</v>
      </c>
      <c r="B7">
        <v>44.82</v>
      </c>
      <c r="R7" t="s">
        <v>12</v>
      </c>
      <c r="S7">
        <v>78</v>
      </c>
      <c r="T7">
        <v>85</v>
      </c>
      <c r="U7">
        <v>74</v>
      </c>
      <c r="V7">
        <v>80</v>
      </c>
      <c r="W7">
        <v>88</v>
      </c>
      <c r="Y7" t="s">
        <v>14</v>
      </c>
      <c r="Z7">
        <v>440</v>
      </c>
    </row>
    <row r="8" spans="1:26">
      <c r="A8" t="s">
        <v>15</v>
      </c>
      <c r="B8">
        <v>48</v>
      </c>
      <c r="R8" t="s">
        <v>14</v>
      </c>
      <c r="S8">
        <v>88</v>
      </c>
      <c r="T8">
        <v>90</v>
      </c>
      <c r="U8">
        <v>84</v>
      </c>
      <c r="V8">
        <v>86</v>
      </c>
      <c r="W8">
        <v>92</v>
      </c>
      <c r="Y8" t="s">
        <v>16</v>
      </c>
      <c r="Z8">
        <v>350</v>
      </c>
    </row>
    <row r="9" spans="1:26">
      <c r="A9" t="s">
        <v>17</v>
      </c>
      <c r="B9">
        <v>233.3</v>
      </c>
      <c r="R9" t="s">
        <v>16</v>
      </c>
      <c r="S9">
        <v>65</v>
      </c>
      <c r="T9">
        <v>70</v>
      </c>
      <c r="U9">
        <v>68</v>
      </c>
      <c r="V9">
        <v>72</v>
      </c>
      <c r="W9">
        <v>75</v>
      </c>
      <c r="Y9" t="s">
        <v>18</v>
      </c>
      <c r="Z9">
        <v>404</v>
      </c>
    </row>
    <row r="10" spans="18:26">
      <c r="R10" t="s">
        <v>18</v>
      </c>
      <c r="S10">
        <v>82</v>
      </c>
      <c r="T10">
        <v>79</v>
      </c>
      <c r="U10">
        <v>85</v>
      </c>
      <c r="V10">
        <v>80</v>
      </c>
      <c r="W10">
        <v>78</v>
      </c>
      <c r="Y10" t="s">
        <v>19</v>
      </c>
      <c r="Z10">
        <v>310</v>
      </c>
    </row>
    <row r="11" spans="18:26">
      <c r="R11" t="s">
        <v>19</v>
      </c>
      <c r="S11">
        <v>60</v>
      </c>
      <c r="T11">
        <v>64</v>
      </c>
      <c r="U11">
        <v>58</v>
      </c>
      <c r="V11">
        <v>62</v>
      </c>
      <c r="W11">
        <v>66</v>
      </c>
      <c r="Y11" t="s">
        <v>20</v>
      </c>
      <c r="Z11">
        <v>456</v>
      </c>
    </row>
    <row r="12" spans="14:26">
      <c r="N12" t="s">
        <v>4</v>
      </c>
      <c r="O12" t="s">
        <v>1</v>
      </c>
      <c r="P12" t="s">
        <v>21</v>
      </c>
      <c r="R12" t="s">
        <v>20</v>
      </c>
      <c r="S12">
        <v>90</v>
      </c>
      <c r="T12">
        <v>92</v>
      </c>
      <c r="U12">
        <v>89</v>
      </c>
      <c r="V12">
        <v>91</v>
      </c>
      <c r="W12">
        <v>94</v>
      </c>
      <c r="Y12" t="s">
        <v>22</v>
      </c>
      <c r="Z12">
        <v>400</v>
      </c>
    </row>
    <row r="13" spans="14:26">
      <c r="N13" t="s">
        <v>12</v>
      </c>
      <c r="O13">
        <v>8.1</v>
      </c>
      <c r="P13">
        <v>82</v>
      </c>
      <c r="R13" t="s">
        <v>22</v>
      </c>
      <c r="S13">
        <v>78</v>
      </c>
      <c r="T13">
        <v>80</v>
      </c>
      <c r="U13">
        <v>76</v>
      </c>
      <c r="V13">
        <v>82</v>
      </c>
      <c r="W13">
        <v>84</v>
      </c>
      <c r="Y13" t="s">
        <v>23</v>
      </c>
      <c r="Z13">
        <v>345</v>
      </c>
    </row>
    <row r="14" spans="14:26">
      <c r="N14" t="s">
        <v>14</v>
      </c>
      <c r="O14">
        <v>8.8</v>
      </c>
      <c r="P14">
        <v>91</v>
      </c>
      <c r="R14" t="s">
        <v>23</v>
      </c>
      <c r="S14">
        <v>68</v>
      </c>
      <c r="T14">
        <v>70</v>
      </c>
      <c r="U14">
        <v>66</v>
      </c>
      <c r="V14">
        <v>72</v>
      </c>
      <c r="W14">
        <v>69</v>
      </c>
      <c r="Y14" t="s">
        <v>24</v>
      </c>
      <c r="Z14">
        <v>379</v>
      </c>
    </row>
    <row r="15" spans="14:26">
      <c r="N15" t="s">
        <v>16</v>
      </c>
      <c r="O15">
        <v>7</v>
      </c>
      <c r="P15">
        <v>76</v>
      </c>
      <c r="R15" t="s">
        <v>24</v>
      </c>
      <c r="S15">
        <v>75</v>
      </c>
      <c r="T15">
        <v>77</v>
      </c>
      <c r="U15">
        <v>73</v>
      </c>
      <c r="V15">
        <v>78</v>
      </c>
      <c r="W15">
        <v>76</v>
      </c>
      <c r="Y15" t="s">
        <v>25</v>
      </c>
      <c r="Z15">
        <v>438</v>
      </c>
    </row>
    <row r="16" spans="14:26">
      <c r="N16" t="s">
        <v>18</v>
      </c>
      <c r="O16">
        <v>8.08</v>
      </c>
      <c r="P16">
        <v>88</v>
      </c>
      <c r="R16" t="s">
        <v>25</v>
      </c>
      <c r="S16">
        <v>88</v>
      </c>
      <c r="T16">
        <v>86</v>
      </c>
      <c r="U16">
        <v>90</v>
      </c>
      <c r="V16">
        <v>85</v>
      </c>
      <c r="W16">
        <v>89</v>
      </c>
      <c r="Y16" t="s">
        <v>26</v>
      </c>
      <c r="Z16">
        <v>292</v>
      </c>
    </row>
    <row r="17" spans="14:26">
      <c r="N17" t="s">
        <v>19</v>
      </c>
      <c r="O17">
        <v>6.2</v>
      </c>
      <c r="P17">
        <v>69</v>
      </c>
      <c r="R17" t="s">
        <v>26</v>
      </c>
      <c r="S17">
        <v>55</v>
      </c>
      <c r="T17">
        <v>60</v>
      </c>
      <c r="U17">
        <v>58</v>
      </c>
      <c r="V17">
        <v>62</v>
      </c>
      <c r="W17">
        <v>57</v>
      </c>
      <c r="Y17" t="s">
        <v>27</v>
      </c>
      <c r="Z17">
        <v>425</v>
      </c>
    </row>
    <row r="18" spans="14:26">
      <c r="N18" t="s">
        <v>20</v>
      </c>
      <c r="O18">
        <v>9.12</v>
      </c>
      <c r="P18">
        <v>95</v>
      </c>
      <c r="R18" t="s">
        <v>27</v>
      </c>
      <c r="S18">
        <v>84</v>
      </c>
      <c r="T18">
        <v>86</v>
      </c>
      <c r="U18">
        <v>82</v>
      </c>
      <c r="V18">
        <v>88</v>
      </c>
      <c r="W18">
        <v>85</v>
      </c>
      <c r="Y18" t="s">
        <v>28</v>
      </c>
      <c r="Z18">
        <v>350</v>
      </c>
    </row>
    <row r="19" spans="14:26">
      <c r="N19" t="s">
        <v>22</v>
      </c>
      <c r="O19">
        <v>8</v>
      </c>
      <c r="P19">
        <v>85</v>
      </c>
      <c r="R19" t="s">
        <v>28</v>
      </c>
      <c r="S19">
        <v>70</v>
      </c>
      <c r="T19">
        <v>68</v>
      </c>
      <c r="U19">
        <v>72</v>
      </c>
      <c r="V19">
        <v>71</v>
      </c>
      <c r="W19">
        <v>69</v>
      </c>
      <c r="Y19" t="s">
        <v>29</v>
      </c>
      <c r="Z19">
        <v>394</v>
      </c>
    </row>
    <row r="20" spans="14:26">
      <c r="N20" t="s">
        <v>23</v>
      </c>
      <c r="O20">
        <v>6.9</v>
      </c>
      <c r="P20">
        <v>73</v>
      </c>
      <c r="R20" t="s">
        <v>29</v>
      </c>
      <c r="S20">
        <v>78</v>
      </c>
      <c r="T20">
        <v>80</v>
      </c>
      <c r="U20">
        <v>75</v>
      </c>
      <c r="V20">
        <v>82</v>
      </c>
      <c r="W20">
        <v>79</v>
      </c>
      <c r="Y20" t="s">
        <v>30</v>
      </c>
      <c r="Z20">
        <v>429</v>
      </c>
    </row>
    <row r="21" spans="14:26">
      <c r="N21" t="s">
        <v>24</v>
      </c>
      <c r="O21">
        <v>7.58</v>
      </c>
      <c r="P21">
        <v>80</v>
      </c>
      <c r="R21" t="s">
        <v>30</v>
      </c>
      <c r="S21">
        <v>85</v>
      </c>
      <c r="T21">
        <v>87</v>
      </c>
      <c r="U21">
        <v>83</v>
      </c>
      <c r="V21">
        <v>88</v>
      </c>
      <c r="W21">
        <v>86</v>
      </c>
      <c r="Y21" t="s">
        <v>31</v>
      </c>
      <c r="Z21">
        <v>464</v>
      </c>
    </row>
    <row r="22" spans="14:26">
      <c r="N22" t="s">
        <v>25</v>
      </c>
      <c r="O22">
        <v>8.76</v>
      </c>
      <c r="P22">
        <v>92</v>
      </c>
      <c r="R22" t="s">
        <v>31</v>
      </c>
      <c r="S22">
        <v>94</v>
      </c>
      <c r="T22">
        <v>92</v>
      </c>
      <c r="U22">
        <v>90</v>
      </c>
      <c r="V22">
        <v>95</v>
      </c>
      <c r="W22">
        <v>93</v>
      </c>
      <c r="Y22" t="s">
        <v>32</v>
      </c>
      <c r="Z22">
        <v>365</v>
      </c>
    </row>
    <row r="23" spans="14:26">
      <c r="N23" t="s">
        <v>26</v>
      </c>
      <c r="O23">
        <v>5.84</v>
      </c>
      <c r="P23">
        <v>67</v>
      </c>
      <c r="R23" t="s">
        <v>32</v>
      </c>
      <c r="S23">
        <v>72</v>
      </c>
      <c r="T23">
        <v>74</v>
      </c>
      <c r="U23">
        <v>70</v>
      </c>
      <c r="V23">
        <v>76</v>
      </c>
      <c r="W23">
        <v>73</v>
      </c>
      <c r="Y23" t="s">
        <v>33</v>
      </c>
      <c r="Z23">
        <v>395</v>
      </c>
    </row>
    <row r="24" spans="14:26">
      <c r="N24" t="s">
        <v>27</v>
      </c>
      <c r="O24">
        <v>8.5</v>
      </c>
      <c r="P24">
        <v>89</v>
      </c>
      <c r="R24" t="s">
        <v>33</v>
      </c>
      <c r="S24">
        <v>78</v>
      </c>
      <c r="T24">
        <v>80</v>
      </c>
      <c r="U24">
        <v>76</v>
      </c>
      <c r="V24">
        <v>82</v>
      </c>
      <c r="W24">
        <v>79</v>
      </c>
      <c r="Y24" t="s">
        <v>34</v>
      </c>
      <c r="Z24">
        <v>331</v>
      </c>
    </row>
    <row r="25" spans="14:26">
      <c r="N25" t="s">
        <v>28</v>
      </c>
      <c r="O25">
        <v>7</v>
      </c>
      <c r="P25">
        <v>74</v>
      </c>
      <c r="R25" t="s">
        <v>34</v>
      </c>
      <c r="S25">
        <v>65</v>
      </c>
      <c r="T25">
        <v>68</v>
      </c>
      <c r="U25">
        <v>62</v>
      </c>
      <c r="V25">
        <v>70</v>
      </c>
      <c r="W25">
        <v>66</v>
      </c>
      <c r="Y25" t="s">
        <v>35</v>
      </c>
      <c r="Z25">
        <v>414</v>
      </c>
    </row>
    <row r="26" spans="14:26">
      <c r="N26" t="s">
        <v>29</v>
      </c>
      <c r="O26">
        <v>7.88</v>
      </c>
      <c r="P26">
        <v>81</v>
      </c>
      <c r="R26" t="s">
        <v>35</v>
      </c>
      <c r="S26">
        <v>82</v>
      </c>
      <c r="T26">
        <v>84</v>
      </c>
      <c r="U26">
        <v>80</v>
      </c>
      <c r="V26">
        <v>85</v>
      </c>
      <c r="W26">
        <v>83</v>
      </c>
      <c r="Y26" t="s">
        <v>36</v>
      </c>
      <c r="Z26">
        <v>375</v>
      </c>
    </row>
    <row r="27" spans="14:26">
      <c r="N27" t="s">
        <v>30</v>
      </c>
      <c r="O27">
        <v>8.58</v>
      </c>
      <c r="P27">
        <v>90</v>
      </c>
      <c r="R27" t="s">
        <v>36</v>
      </c>
      <c r="S27">
        <v>74</v>
      </c>
      <c r="T27">
        <v>76</v>
      </c>
      <c r="U27">
        <v>72</v>
      </c>
      <c r="V27">
        <v>78</v>
      </c>
      <c r="W27">
        <v>75</v>
      </c>
      <c r="Y27" t="s">
        <v>37</v>
      </c>
      <c r="Z27">
        <v>455</v>
      </c>
    </row>
    <row r="28" spans="14:26">
      <c r="N28" t="s">
        <v>31</v>
      </c>
      <c r="O28">
        <v>9.28</v>
      </c>
      <c r="P28">
        <v>96</v>
      </c>
      <c r="R28" t="s">
        <v>37</v>
      </c>
      <c r="S28">
        <v>90</v>
      </c>
      <c r="T28">
        <v>92</v>
      </c>
      <c r="U28">
        <v>88</v>
      </c>
      <c r="V28">
        <v>94</v>
      </c>
      <c r="W28">
        <v>91</v>
      </c>
      <c r="Y28" t="s">
        <v>38</v>
      </c>
      <c r="Z28">
        <v>308</v>
      </c>
    </row>
    <row r="29" spans="14:26">
      <c r="N29" t="s">
        <v>32</v>
      </c>
      <c r="O29">
        <v>7.3</v>
      </c>
      <c r="P29">
        <v>78</v>
      </c>
      <c r="R29" t="s">
        <v>38</v>
      </c>
      <c r="S29">
        <v>60</v>
      </c>
      <c r="T29">
        <v>62</v>
      </c>
      <c r="U29">
        <v>58</v>
      </c>
      <c r="V29">
        <v>65</v>
      </c>
      <c r="W29">
        <v>63</v>
      </c>
      <c r="Y29" t="s">
        <v>39</v>
      </c>
      <c r="Z29">
        <v>400</v>
      </c>
    </row>
    <row r="30" spans="14:26">
      <c r="N30" t="s">
        <v>33</v>
      </c>
      <c r="O30">
        <v>7.9</v>
      </c>
      <c r="P30">
        <v>83</v>
      </c>
      <c r="R30" t="s">
        <v>39</v>
      </c>
      <c r="S30">
        <v>80</v>
      </c>
      <c r="T30">
        <v>78</v>
      </c>
      <c r="U30">
        <v>82</v>
      </c>
      <c r="V30">
        <v>79</v>
      </c>
      <c r="W30">
        <v>81</v>
      </c>
      <c r="Y30" t="s">
        <v>40</v>
      </c>
      <c r="Z30">
        <v>355</v>
      </c>
    </row>
    <row r="31" spans="14:26">
      <c r="N31" t="s">
        <v>34</v>
      </c>
      <c r="O31">
        <v>6.62</v>
      </c>
      <c r="P31">
        <v>71</v>
      </c>
      <c r="R31" t="s">
        <v>40</v>
      </c>
      <c r="S31">
        <v>70</v>
      </c>
      <c r="T31">
        <v>72</v>
      </c>
      <c r="U31">
        <v>68</v>
      </c>
      <c r="V31">
        <v>74</v>
      </c>
      <c r="W31">
        <v>71</v>
      </c>
      <c r="Y31" t="s">
        <v>41</v>
      </c>
      <c r="Z31">
        <v>440</v>
      </c>
    </row>
    <row r="32" spans="14:26">
      <c r="N32" t="s">
        <v>35</v>
      </c>
      <c r="O32">
        <v>8.28</v>
      </c>
      <c r="P32">
        <v>87</v>
      </c>
      <c r="R32" t="s">
        <v>41</v>
      </c>
      <c r="S32">
        <v>88</v>
      </c>
      <c r="T32">
        <v>86</v>
      </c>
      <c r="U32">
        <v>90</v>
      </c>
      <c r="V32">
        <v>87</v>
      </c>
      <c r="W32">
        <v>89</v>
      </c>
      <c r="Y32" t="s">
        <v>42</v>
      </c>
      <c r="Z32">
        <v>345</v>
      </c>
    </row>
    <row r="33" spans="14:26">
      <c r="N33" t="s">
        <v>36</v>
      </c>
      <c r="O33">
        <v>7.5</v>
      </c>
      <c r="P33">
        <v>79</v>
      </c>
      <c r="R33" t="s">
        <v>42</v>
      </c>
      <c r="S33">
        <v>68</v>
      </c>
      <c r="T33">
        <v>70</v>
      </c>
      <c r="U33">
        <v>66</v>
      </c>
      <c r="V33">
        <v>72</v>
      </c>
      <c r="W33">
        <v>69</v>
      </c>
      <c r="Y33" t="s">
        <v>43</v>
      </c>
      <c r="Z33">
        <v>414</v>
      </c>
    </row>
    <row r="34" spans="14:26">
      <c r="N34" t="s">
        <v>37</v>
      </c>
      <c r="O34">
        <v>9.1</v>
      </c>
      <c r="P34">
        <v>93</v>
      </c>
      <c r="R34" t="s">
        <v>43</v>
      </c>
      <c r="S34">
        <v>82</v>
      </c>
      <c r="T34">
        <v>84</v>
      </c>
      <c r="U34">
        <v>80</v>
      </c>
      <c r="V34">
        <v>85</v>
      </c>
      <c r="W34">
        <v>83</v>
      </c>
      <c r="Y34" t="s">
        <v>44</v>
      </c>
      <c r="Z34">
        <v>333</v>
      </c>
    </row>
    <row r="35" spans="14:26">
      <c r="N35" t="s">
        <v>38</v>
      </c>
      <c r="O35">
        <v>6.16</v>
      </c>
      <c r="P35">
        <v>68</v>
      </c>
      <c r="R35" t="s">
        <v>44</v>
      </c>
      <c r="S35">
        <v>65</v>
      </c>
      <c r="T35">
        <v>67</v>
      </c>
      <c r="U35">
        <v>63</v>
      </c>
      <c r="V35">
        <v>70</v>
      </c>
      <c r="W35">
        <v>68</v>
      </c>
      <c r="Y35" t="s">
        <v>45</v>
      </c>
      <c r="Z35">
        <v>454</v>
      </c>
    </row>
    <row r="36" spans="14:26">
      <c r="N36" t="s">
        <v>39</v>
      </c>
      <c r="O36">
        <v>8</v>
      </c>
      <c r="P36">
        <v>84</v>
      </c>
      <c r="R36" t="s">
        <v>45</v>
      </c>
      <c r="S36">
        <v>90</v>
      </c>
      <c r="T36">
        <v>92</v>
      </c>
      <c r="U36">
        <v>88</v>
      </c>
      <c r="V36">
        <v>91</v>
      </c>
      <c r="W36">
        <v>93</v>
      </c>
      <c r="Y36" t="s">
        <v>17</v>
      </c>
      <c r="Z36">
        <v>11665</v>
      </c>
    </row>
    <row r="37" spans="14:23">
      <c r="N37" t="s">
        <v>40</v>
      </c>
      <c r="O37">
        <v>7.1</v>
      </c>
      <c r="P37">
        <v>77</v>
      </c>
      <c r="R37" t="s">
        <v>17</v>
      </c>
      <c r="S37">
        <v>2302</v>
      </c>
      <c r="T37">
        <v>2351</v>
      </c>
      <c r="U37">
        <v>2266</v>
      </c>
      <c r="V37">
        <v>2382</v>
      </c>
      <c r="W37">
        <v>2364</v>
      </c>
    </row>
    <row r="38" spans="14:16">
      <c r="N38" t="s">
        <v>41</v>
      </c>
      <c r="O38">
        <v>8.8</v>
      </c>
      <c r="P38">
        <v>91</v>
      </c>
    </row>
    <row r="39" spans="14:16">
      <c r="N39" t="s">
        <v>42</v>
      </c>
      <c r="O39">
        <v>6.9</v>
      </c>
      <c r="P39">
        <v>75</v>
      </c>
    </row>
    <row r="40" spans="14:16">
      <c r="N40" t="s">
        <v>43</v>
      </c>
      <c r="O40">
        <v>8.28</v>
      </c>
      <c r="P40">
        <v>86</v>
      </c>
    </row>
    <row r="41" spans="14:16">
      <c r="N41" t="s">
        <v>44</v>
      </c>
      <c r="O41">
        <v>6.66</v>
      </c>
      <c r="P41">
        <v>72</v>
      </c>
    </row>
    <row r="42" spans="14:16">
      <c r="N42" t="s">
        <v>45</v>
      </c>
      <c r="O42">
        <v>9.08</v>
      </c>
      <c r="P42">
        <v>94</v>
      </c>
    </row>
    <row r="43" spans="14:16">
      <c r="N43" t="s">
        <v>17</v>
      </c>
      <c r="O43">
        <v>233.3</v>
      </c>
      <c r="P43">
        <v>2466</v>
      </c>
    </row>
  </sheetData>
  <pageMargins left="0.75" right="0.75" top="1" bottom="1" header="0.5" footer="0.5"/>
  <pageSetup paperSize="1" orientation="portrait"/>
  <headerFooter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D8" sqref="D8"/>
    </sheetView>
  </sheetViews>
  <sheetFormatPr defaultColWidth="8.88888888888889" defaultRowHeight="14.4" outlineLevelCol="1"/>
  <cols>
    <col min="1" max="1" width="11.6666666666667"/>
    <col min="2" max="2" width="19.6666666666667"/>
  </cols>
  <sheetData>
    <row r="3" spans="1:2">
      <c r="A3" t="s">
        <v>46</v>
      </c>
      <c r="B3" t="s">
        <v>47</v>
      </c>
    </row>
    <row r="4" spans="1:2">
      <c r="A4" t="s">
        <v>15</v>
      </c>
      <c r="B4">
        <v>8</v>
      </c>
    </row>
    <row r="5" spans="1:2">
      <c r="A5" t="s">
        <v>3</v>
      </c>
      <c r="B5">
        <v>8.1</v>
      </c>
    </row>
    <row r="6" spans="1:2">
      <c r="A6" t="s">
        <v>2</v>
      </c>
      <c r="B6">
        <v>8.10666666666667</v>
      </c>
    </row>
    <row r="7" spans="1:2">
      <c r="A7" t="s">
        <v>6</v>
      </c>
      <c r="B7">
        <v>7.248</v>
      </c>
    </row>
    <row r="8" spans="1:2">
      <c r="A8" t="s">
        <v>13</v>
      </c>
      <c r="B8">
        <v>7.47</v>
      </c>
    </row>
    <row r="9" spans="1:2">
      <c r="A9" t="s">
        <v>17</v>
      </c>
      <c r="B9">
        <v>38.9246666666667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zoomScale="84" zoomScaleNormal="84" workbookViewId="0">
      <selection activeCell="N2" sqref="N2"/>
    </sheetView>
  </sheetViews>
  <sheetFormatPr defaultColWidth="9" defaultRowHeight="14.4"/>
  <cols>
    <col min="11" max="11" width="10.1111111111111" customWidth="1"/>
    <col min="14" max="14" width="16.5555555555556" customWidth="1"/>
    <col min="15" max="15" width="16" customWidth="1"/>
    <col min="16" max="16" width="9.88888888888889" customWidth="1"/>
    <col min="17" max="17" width="12.8888888888889"/>
    <col min="19" max="19" width="11.8888888888889" customWidth="1"/>
    <col min="20" max="20" width="12.7777777777778" customWidth="1"/>
  </cols>
  <sheetData>
    <row r="1" spans="1:14">
      <c r="A1" t="s">
        <v>4</v>
      </c>
      <c r="B1" t="s">
        <v>48</v>
      </c>
      <c r="C1" t="s">
        <v>0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s="1" t="s">
        <v>57</v>
      </c>
      <c r="M1" t="s">
        <v>58</v>
      </c>
      <c r="N1" t="s">
        <v>59</v>
      </c>
    </row>
    <row r="2" spans="1:20">
      <c r="A2" t="s">
        <v>12</v>
      </c>
      <c r="B2" t="s">
        <v>60</v>
      </c>
      <c r="C2" t="s">
        <v>2</v>
      </c>
      <c r="D2">
        <v>3</v>
      </c>
      <c r="E2">
        <v>82</v>
      </c>
      <c r="F2">
        <v>78</v>
      </c>
      <c r="G2">
        <v>85</v>
      </c>
      <c r="H2">
        <v>74</v>
      </c>
      <c r="I2">
        <v>80</v>
      </c>
      <c r="J2">
        <v>88</v>
      </c>
      <c r="K2">
        <v>405</v>
      </c>
      <c r="L2">
        <f t="shared" ref="L2:L31" si="0">SUM(K2/500*10)</f>
        <v>8.1</v>
      </c>
      <c r="M2">
        <f t="shared" ref="M2:M31" si="1">SUM(K2/500*100)</f>
        <v>81</v>
      </c>
      <c r="N2" s="2" t="str">
        <f t="shared" ref="N2:N31" si="2">IF(L2&gt;9,"Excellent",IF(L2&gt;8,"Good"," Improve"))</f>
        <v>Good</v>
      </c>
      <c r="P2" s="3" t="s">
        <v>46</v>
      </c>
      <c r="Q2" s="3" t="s">
        <v>61</v>
      </c>
      <c r="R2" s="3" t="s">
        <v>62</v>
      </c>
      <c r="S2" s="3" t="s">
        <v>63</v>
      </c>
      <c r="T2" s="3" t="s">
        <v>64</v>
      </c>
    </row>
    <row r="3" spans="1:20">
      <c r="A3" t="s">
        <v>14</v>
      </c>
      <c r="B3" t="s">
        <v>65</v>
      </c>
      <c r="C3" t="s">
        <v>3</v>
      </c>
      <c r="D3">
        <v>3</v>
      </c>
      <c r="E3">
        <v>91</v>
      </c>
      <c r="F3">
        <v>88</v>
      </c>
      <c r="G3">
        <v>90</v>
      </c>
      <c r="H3">
        <v>84</v>
      </c>
      <c r="I3">
        <v>86</v>
      </c>
      <c r="J3">
        <v>92</v>
      </c>
      <c r="K3">
        <v>440</v>
      </c>
      <c r="L3">
        <f t="shared" si="0"/>
        <v>8.8</v>
      </c>
      <c r="M3">
        <f t="shared" si="1"/>
        <v>88</v>
      </c>
      <c r="N3" s="2" t="str">
        <f t="shared" si="2"/>
        <v>Good</v>
      </c>
      <c r="P3" t="s">
        <v>2</v>
      </c>
      <c r="Q3">
        <f>AVERAGEIF(C2:C31,"ECE",L2:L31)</f>
        <v>8.10666666666667</v>
      </c>
      <c r="R3">
        <f>_xlfn.MAXIFS(L2:L31,C2:C31,"ECE")</f>
        <v>9.28</v>
      </c>
      <c r="S3">
        <f>_xlfn.MINIFS(L2:L31,C2:C31,"ECE")</f>
        <v>5.84</v>
      </c>
      <c r="T3">
        <f>COUNTIF(C2:C31,"ECE")</f>
        <v>6</v>
      </c>
    </row>
    <row r="4" spans="1:20">
      <c r="A4" t="s">
        <v>16</v>
      </c>
      <c r="B4" t="s">
        <v>60</v>
      </c>
      <c r="C4" t="s">
        <v>6</v>
      </c>
      <c r="D4">
        <v>3</v>
      </c>
      <c r="E4">
        <v>76</v>
      </c>
      <c r="F4">
        <v>65</v>
      </c>
      <c r="G4">
        <v>70</v>
      </c>
      <c r="H4">
        <v>68</v>
      </c>
      <c r="I4">
        <v>72</v>
      </c>
      <c r="J4">
        <v>75</v>
      </c>
      <c r="K4">
        <v>350</v>
      </c>
      <c r="L4">
        <f t="shared" si="0"/>
        <v>7</v>
      </c>
      <c r="M4">
        <f t="shared" si="1"/>
        <v>70</v>
      </c>
      <c r="N4" s="2" t="str">
        <f t="shared" si="2"/>
        <v>Improve</v>
      </c>
      <c r="P4" t="s">
        <v>3</v>
      </c>
      <c r="Q4">
        <f>AVERAGEIF(C3:C32,"CSE",L3:L32)</f>
        <v>8.1</v>
      </c>
      <c r="R4">
        <f>_xlfn.MAXIFS(L3:L32,C3:C32,"CSE")</f>
        <v>9.1</v>
      </c>
      <c r="S4">
        <f>_xlfn.MINIFS(L2:L31,C2:C31,"CSE")</f>
        <v>6.9</v>
      </c>
      <c r="T4">
        <f>COUNTIF(C3:C32,"CSE")</f>
        <v>6</v>
      </c>
    </row>
    <row r="5" spans="1:20">
      <c r="A5" t="s">
        <v>18</v>
      </c>
      <c r="B5" t="s">
        <v>65</v>
      </c>
      <c r="C5" t="s">
        <v>13</v>
      </c>
      <c r="D5">
        <v>3</v>
      </c>
      <c r="E5">
        <v>88</v>
      </c>
      <c r="F5">
        <v>82</v>
      </c>
      <c r="G5">
        <v>79</v>
      </c>
      <c r="H5">
        <v>85</v>
      </c>
      <c r="I5">
        <v>80</v>
      </c>
      <c r="J5">
        <v>78</v>
      </c>
      <c r="K5">
        <v>404</v>
      </c>
      <c r="L5">
        <f t="shared" si="0"/>
        <v>8.08</v>
      </c>
      <c r="M5">
        <f t="shared" si="1"/>
        <v>80.8</v>
      </c>
      <c r="N5" s="2" t="str">
        <f t="shared" si="2"/>
        <v>Good</v>
      </c>
      <c r="P5" t="s">
        <v>13</v>
      </c>
      <c r="Q5">
        <f>AVERAGEIF(C4:C33,"ME",L4:L33)</f>
        <v>7.47</v>
      </c>
      <c r="R5">
        <f>_xlfn.MAXIFS(L4:L33,C4:C33,"ME")</f>
        <v>8.08</v>
      </c>
      <c r="S5">
        <f>_xlfn.MINIFS(L2:L31,C2:C31,"ME")</f>
        <v>6.62</v>
      </c>
      <c r="T5">
        <f>COUNTIF(C4:C33,"ME")</f>
        <v>6</v>
      </c>
    </row>
    <row r="6" spans="1:20">
      <c r="A6" t="s">
        <v>19</v>
      </c>
      <c r="B6" t="s">
        <v>60</v>
      </c>
      <c r="C6" t="s">
        <v>15</v>
      </c>
      <c r="D6">
        <v>3</v>
      </c>
      <c r="E6">
        <v>69</v>
      </c>
      <c r="F6">
        <v>60</v>
      </c>
      <c r="G6">
        <v>64</v>
      </c>
      <c r="H6">
        <v>58</v>
      </c>
      <c r="I6">
        <v>62</v>
      </c>
      <c r="J6">
        <v>66</v>
      </c>
      <c r="K6">
        <v>310</v>
      </c>
      <c r="L6">
        <f t="shared" si="0"/>
        <v>6.2</v>
      </c>
      <c r="M6">
        <f t="shared" si="1"/>
        <v>62</v>
      </c>
      <c r="N6" s="2" t="str">
        <f t="shared" si="2"/>
        <v>Improve</v>
      </c>
      <c r="P6" t="s">
        <v>6</v>
      </c>
      <c r="Q6">
        <f>AVERAGEIF(C5:C34,"EEE",L5:L34)</f>
        <v>7.248</v>
      </c>
      <c r="R6">
        <f>_xlfn.MAXIFS(L5:L34,C5:C34,"EEE")</f>
        <v>8.28</v>
      </c>
      <c r="S6">
        <f>_xlfn.MINIFS(L2:L31,C2:C31,"EEE")</f>
        <v>6.16</v>
      </c>
      <c r="T6">
        <f>COUNTIF(C5:C34,"EEE")</f>
        <v>5</v>
      </c>
    </row>
    <row r="7" spans="1:20">
      <c r="A7" t="s">
        <v>20</v>
      </c>
      <c r="B7" t="s">
        <v>65</v>
      </c>
      <c r="C7" t="s">
        <v>2</v>
      </c>
      <c r="D7">
        <v>3</v>
      </c>
      <c r="E7">
        <v>95</v>
      </c>
      <c r="F7">
        <v>90</v>
      </c>
      <c r="G7">
        <v>92</v>
      </c>
      <c r="H7">
        <v>89</v>
      </c>
      <c r="I7">
        <v>91</v>
      </c>
      <c r="J7">
        <v>94</v>
      </c>
      <c r="K7">
        <v>456</v>
      </c>
      <c r="L7">
        <f t="shared" si="0"/>
        <v>9.12</v>
      </c>
      <c r="M7">
        <f t="shared" si="1"/>
        <v>91.2</v>
      </c>
      <c r="N7" s="2" t="str">
        <f t="shared" si="2"/>
        <v>Excellent</v>
      </c>
      <c r="P7" t="s">
        <v>15</v>
      </c>
      <c r="Q7">
        <f>AVERAGEIF(C6:C35,"CE",L6:L35)</f>
        <v>8</v>
      </c>
      <c r="R7">
        <f>_xlfn.MAXIFS(L6:L35,C6:C35,"CE")</f>
        <v>9.08</v>
      </c>
      <c r="S7">
        <f>_xlfn.MINIFS(L2:L31,C2:C31,"CE")</f>
        <v>6.2</v>
      </c>
      <c r="T7">
        <f>COUNTIF(C6:C35,"CE")</f>
        <v>6</v>
      </c>
    </row>
    <row r="8" spans="1:14">
      <c r="A8" t="s">
        <v>22</v>
      </c>
      <c r="B8" t="s">
        <v>60</v>
      </c>
      <c r="C8" t="s">
        <v>3</v>
      </c>
      <c r="D8">
        <v>3</v>
      </c>
      <c r="E8">
        <v>85</v>
      </c>
      <c r="F8">
        <v>78</v>
      </c>
      <c r="G8">
        <v>80</v>
      </c>
      <c r="H8">
        <v>76</v>
      </c>
      <c r="I8">
        <v>82</v>
      </c>
      <c r="J8">
        <v>84</v>
      </c>
      <c r="K8">
        <v>400</v>
      </c>
      <c r="L8">
        <f t="shared" si="0"/>
        <v>8</v>
      </c>
      <c r="M8">
        <f t="shared" si="1"/>
        <v>80</v>
      </c>
      <c r="N8" s="2" t="str">
        <f t="shared" si="2"/>
        <v>Improve</v>
      </c>
    </row>
    <row r="9" spans="1:14">
      <c r="A9" t="s">
        <v>23</v>
      </c>
      <c r="B9" t="s">
        <v>65</v>
      </c>
      <c r="C9" t="s">
        <v>6</v>
      </c>
      <c r="D9">
        <v>3</v>
      </c>
      <c r="E9">
        <v>73</v>
      </c>
      <c r="F9">
        <v>68</v>
      </c>
      <c r="G9">
        <v>70</v>
      </c>
      <c r="H9">
        <v>66</v>
      </c>
      <c r="I9">
        <v>72</v>
      </c>
      <c r="J9">
        <v>69</v>
      </c>
      <c r="K9">
        <v>345</v>
      </c>
      <c r="L9">
        <f t="shared" si="0"/>
        <v>6.9</v>
      </c>
      <c r="M9">
        <f t="shared" si="1"/>
        <v>69</v>
      </c>
      <c r="N9" s="2" t="str">
        <f t="shared" si="2"/>
        <v>Improve</v>
      </c>
    </row>
    <row r="10" spans="1:14">
      <c r="A10" t="s">
        <v>24</v>
      </c>
      <c r="B10" t="s">
        <v>60</v>
      </c>
      <c r="C10" t="s">
        <v>13</v>
      </c>
      <c r="D10">
        <v>3</v>
      </c>
      <c r="E10">
        <v>80</v>
      </c>
      <c r="F10">
        <v>75</v>
      </c>
      <c r="G10">
        <v>77</v>
      </c>
      <c r="H10">
        <v>73</v>
      </c>
      <c r="I10">
        <v>78</v>
      </c>
      <c r="J10">
        <v>76</v>
      </c>
      <c r="K10">
        <v>379</v>
      </c>
      <c r="L10">
        <f t="shared" si="0"/>
        <v>7.58</v>
      </c>
      <c r="M10">
        <f t="shared" si="1"/>
        <v>75.8</v>
      </c>
      <c r="N10" s="2" t="str">
        <f t="shared" si="2"/>
        <v>Improve</v>
      </c>
    </row>
    <row r="11" spans="1:14">
      <c r="A11" t="s">
        <v>25</v>
      </c>
      <c r="B11" t="s">
        <v>65</v>
      </c>
      <c r="C11" t="s">
        <v>15</v>
      </c>
      <c r="D11">
        <v>3</v>
      </c>
      <c r="E11">
        <v>92</v>
      </c>
      <c r="F11">
        <v>88</v>
      </c>
      <c r="G11">
        <v>86</v>
      </c>
      <c r="H11">
        <v>90</v>
      </c>
      <c r="I11">
        <v>85</v>
      </c>
      <c r="J11">
        <v>89</v>
      </c>
      <c r="K11">
        <v>438</v>
      </c>
      <c r="L11">
        <f t="shared" si="0"/>
        <v>8.76</v>
      </c>
      <c r="M11">
        <f t="shared" si="1"/>
        <v>87.6</v>
      </c>
      <c r="N11" s="2" t="str">
        <f t="shared" si="2"/>
        <v>Good</v>
      </c>
    </row>
    <row r="12" spans="1:14">
      <c r="A12" t="s">
        <v>26</v>
      </c>
      <c r="B12" t="s">
        <v>60</v>
      </c>
      <c r="C12" t="s">
        <v>2</v>
      </c>
      <c r="D12">
        <v>3</v>
      </c>
      <c r="E12">
        <v>67</v>
      </c>
      <c r="F12">
        <v>55</v>
      </c>
      <c r="G12">
        <v>60</v>
      </c>
      <c r="H12">
        <v>58</v>
      </c>
      <c r="I12">
        <v>62</v>
      </c>
      <c r="J12">
        <v>57</v>
      </c>
      <c r="K12">
        <v>292</v>
      </c>
      <c r="L12">
        <f t="shared" si="0"/>
        <v>5.84</v>
      </c>
      <c r="M12">
        <f t="shared" si="1"/>
        <v>58.4</v>
      </c>
      <c r="N12" s="2" t="str">
        <f t="shared" si="2"/>
        <v>Improve</v>
      </c>
    </row>
    <row r="13" spans="1:14">
      <c r="A13" t="s">
        <v>27</v>
      </c>
      <c r="B13" t="s">
        <v>65</v>
      </c>
      <c r="C13" t="s">
        <v>3</v>
      </c>
      <c r="D13">
        <v>3</v>
      </c>
      <c r="E13">
        <v>89</v>
      </c>
      <c r="F13">
        <v>84</v>
      </c>
      <c r="G13">
        <v>86</v>
      </c>
      <c r="H13">
        <v>82</v>
      </c>
      <c r="I13">
        <v>88</v>
      </c>
      <c r="J13">
        <v>85</v>
      </c>
      <c r="K13">
        <v>425</v>
      </c>
      <c r="L13">
        <f t="shared" si="0"/>
        <v>8.5</v>
      </c>
      <c r="M13">
        <f t="shared" si="1"/>
        <v>85</v>
      </c>
      <c r="N13" s="2" t="str">
        <f t="shared" si="2"/>
        <v>Good</v>
      </c>
    </row>
    <row r="14" spans="1:14">
      <c r="A14" t="s">
        <v>28</v>
      </c>
      <c r="B14" t="s">
        <v>60</v>
      </c>
      <c r="C14" t="s">
        <v>6</v>
      </c>
      <c r="D14">
        <v>3</v>
      </c>
      <c r="E14">
        <v>74</v>
      </c>
      <c r="F14">
        <v>70</v>
      </c>
      <c r="G14">
        <v>68</v>
      </c>
      <c r="H14">
        <v>72</v>
      </c>
      <c r="I14">
        <v>71</v>
      </c>
      <c r="J14">
        <v>69</v>
      </c>
      <c r="K14">
        <v>350</v>
      </c>
      <c r="L14">
        <f t="shared" si="0"/>
        <v>7</v>
      </c>
      <c r="M14">
        <f t="shared" si="1"/>
        <v>70</v>
      </c>
      <c r="N14" s="2" t="str">
        <f t="shared" si="2"/>
        <v>Improve</v>
      </c>
    </row>
    <row r="15" spans="1:14">
      <c r="A15" t="s">
        <v>29</v>
      </c>
      <c r="B15" t="s">
        <v>65</v>
      </c>
      <c r="C15" t="s">
        <v>13</v>
      </c>
      <c r="D15">
        <v>3</v>
      </c>
      <c r="E15">
        <v>81</v>
      </c>
      <c r="F15">
        <v>78</v>
      </c>
      <c r="G15">
        <v>80</v>
      </c>
      <c r="H15">
        <v>75</v>
      </c>
      <c r="I15">
        <v>82</v>
      </c>
      <c r="J15">
        <v>79</v>
      </c>
      <c r="K15">
        <v>394</v>
      </c>
      <c r="L15">
        <f t="shared" si="0"/>
        <v>7.88</v>
      </c>
      <c r="M15">
        <f t="shared" si="1"/>
        <v>78.8</v>
      </c>
      <c r="N15" s="2" t="str">
        <f t="shared" si="2"/>
        <v>Improve</v>
      </c>
    </row>
    <row r="16" spans="1:14">
      <c r="A16" t="s">
        <v>30</v>
      </c>
      <c r="B16" t="s">
        <v>60</v>
      </c>
      <c r="C16" t="s">
        <v>15</v>
      </c>
      <c r="D16">
        <v>3</v>
      </c>
      <c r="E16">
        <v>90</v>
      </c>
      <c r="F16">
        <v>85</v>
      </c>
      <c r="G16">
        <v>87</v>
      </c>
      <c r="H16">
        <v>83</v>
      </c>
      <c r="I16">
        <v>88</v>
      </c>
      <c r="J16">
        <v>86</v>
      </c>
      <c r="K16">
        <v>429</v>
      </c>
      <c r="L16">
        <f t="shared" si="0"/>
        <v>8.58</v>
      </c>
      <c r="M16">
        <f t="shared" si="1"/>
        <v>85.8</v>
      </c>
      <c r="N16" s="2" t="str">
        <f t="shared" si="2"/>
        <v>Good</v>
      </c>
    </row>
    <row r="17" spans="1:14">
      <c r="A17" t="s">
        <v>31</v>
      </c>
      <c r="B17" t="s">
        <v>65</v>
      </c>
      <c r="C17" t="s">
        <v>2</v>
      </c>
      <c r="D17">
        <v>3</v>
      </c>
      <c r="E17">
        <v>96</v>
      </c>
      <c r="F17">
        <v>94</v>
      </c>
      <c r="G17">
        <v>92</v>
      </c>
      <c r="H17">
        <v>90</v>
      </c>
      <c r="I17">
        <v>95</v>
      </c>
      <c r="J17">
        <v>93</v>
      </c>
      <c r="K17">
        <v>464</v>
      </c>
      <c r="L17">
        <f t="shared" si="0"/>
        <v>9.28</v>
      </c>
      <c r="M17">
        <f t="shared" si="1"/>
        <v>92.8</v>
      </c>
      <c r="N17" s="2" t="str">
        <f t="shared" si="2"/>
        <v>Excellent</v>
      </c>
    </row>
    <row r="18" spans="1:14">
      <c r="A18" t="s">
        <v>32</v>
      </c>
      <c r="B18" t="s">
        <v>60</v>
      </c>
      <c r="C18" t="s">
        <v>3</v>
      </c>
      <c r="D18">
        <v>3</v>
      </c>
      <c r="E18">
        <v>78</v>
      </c>
      <c r="F18">
        <v>72</v>
      </c>
      <c r="G18">
        <v>74</v>
      </c>
      <c r="H18">
        <v>70</v>
      </c>
      <c r="I18">
        <v>76</v>
      </c>
      <c r="J18">
        <v>73</v>
      </c>
      <c r="K18">
        <v>365</v>
      </c>
      <c r="L18">
        <f t="shared" si="0"/>
        <v>7.3</v>
      </c>
      <c r="M18">
        <f t="shared" si="1"/>
        <v>73</v>
      </c>
      <c r="N18" s="2" t="str">
        <f t="shared" si="2"/>
        <v>Improve</v>
      </c>
    </row>
    <row r="19" spans="1:14">
      <c r="A19" t="s">
        <v>33</v>
      </c>
      <c r="B19" t="s">
        <v>65</v>
      </c>
      <c r="C19" t="s">
        <v>6</v>
      </c>
      <c r="D19">
        <v>3</v>
      </c>
      <c r="E19">
        <v>83</v>
      </c>
      <c r="F19">
        <v>78</v>
      </c>
      <c r="G19">
        <v>80</v>
      </c>
      <c r="H19">
        <v>76</v>
      </c>
      <c r="I19">
        <v>82</v>
      </c>
      <c r="J19">
        <v>79</v>
      </c>
      <c r="K19">
        <v>395</v>
      </c>
      <c r="L19">
        <f t="shared" si="0"/>
        <v>7.9</v>
      </c>
      <c r="M19">
        <f t="shared" si="1"/>
        <v>79</v>
      </c>
      <c r="N19" s="2" t="str">
        <f t="shared" si="2"/>
        <v>Improve</v>
      </c>
    </row>
    <row r="20" spans="1:14">
      <c r="A20" t="s">
        <v>34</v>
      </c>
      <c r="B20" t="s">
        <v>60</v>
      </c>
      <c r="C20" t="s">
        <v>13</v>
      </c>
      <c r="D20">
        <v>3</v>
      </c>
      <c r="E20">
        <v>71</v>
      </c>
      <c r="F20">
        <v>65</v>
      </c>
      <c r="G20">
        <v>68</v>
      </c>
      <c r="H20">
        <v>62</v>
      </c>
      <c r="I20">
        <v>70</v>
      </c>
      <c r="J20">
        <v>66</v>
      </c>
      <c r="K20">
        <v>331</v>
      </c>
      <c r="L20">
        <f t="shared" si="0"/>
        <v>6.62</v>
      </c>
      <c r="M20">
        <f t="shared" si="1"/>
        <v>66.2</v>
      </c>
      <c r="N20" s="2" t="str">
        <f t="shared" si="2"/>
        <v>Improve</v>
      </c>
    </row>
    <row r="21" spans="1:14">
      <c r="A21" t="s">
        <v>35</v>
      </c>
      <c r="B21" t="s">
        <v>65</v>
      </c>
      <c r="C21" t="s">
        <v>15</v>
      </c>
      <c r="D21">
        <v>3</v>
      </c>
      <c r="E21">
        <v>87</v>
      </c>
      <c r="F21">
        <v>82</v>
      </c>
      <c r="G21">
        <v>84</v>
      </c>
      <c r="H21">
        <v>80</v>
      </c>
      <c r="I21">
        <v>85</v>
      </c>
      <c r="J21">
        <v>83</v>
      </c>
      <c r="K21">
        <v>414</v>
      </c>
      <c r="L21">
        <f t="shared" si="0"/>
        <v>8.28</v>
      </c>
      <c r="M21">
        <f t="shared" si="1"/>
        <v>82.8</v>
      </c>
      <c r="N21" s="2" t="str">
        <f t="shared" si="2"/>
        <v>Good</v>
      </c>
    </row>
    <row r="22" spans="1:14">
      <c r="A22" t="s">
        <v>36</v>
      </c>
      <c r="B22" t="s">
        <v>60</v>
      </c>
      <c r="C22" t="s">
        <v>2</v>
      </c>
      <c r="D22">
        <v>3</v>
      </c>
      <c r="E22">
        <v>79</v>
      </c>
      <c r="F22">
        <v>74</v>
      </c>
      <c r="G22">
        <v>76</v>
      </c>
      <c r="H22">
        <v>72</v>
      </c>
      <c r="I22">
        <v>78</v>
      </c>
      <c r="J22">
        <v>75</v>
      </c>
      <c r="K22">
        <v>375</v>
      </c>
      <c r="L22">
        <f t="shared" si="0"/>
        <v>7.5</v>
      </c>
      <c r="M22">
        <f t="shared" si="1"/>
        <v>75</v>
      </c>
      <c r="N22" s="2" t="str">
        <f t="shared" si="2"/>
        <v>Improve</v>
      </c>
    </row>
    <row r="23" spans="1:14">
      <c r="A23" t="s">
        <v>37</v>
      </c>
      <c r="B23" t="s">
        <v>65</v>
      </c>
      <c r="C23" t="s">
        <v>3</v>
      </c>
      <c r="D23">
        <v>3</v>
      </c>
      <c r="E23">
        <v>93</v>
      </c>
      <c r="F23">
        <v>90</v>
      </c>
      <c r="G23">
        <v>92</v>
      </c>
      <c r="H23">
        <v>88</v>
      </c>
      <c r="I23">
        <v>94</v>
      </c>
      <c r="J23">
        <v>91</v>
      </c>
      <c r="K23">
        <v>455</v>
      </c>
      <c r="L23">
        <f t="shared" si="0"/>
        <v>9.1</v>
      </c>
      <c r="M23">
        <f t="shared" si="1"/>
        <v>91</v>
      </c>
      <c r="N23" s="2" t="str">
        <f t="shared" si="2"/>
        <v>Excellent</v>
      </c>
    </row>
    <row r="24" spans="1:14">
      <c r="A24" t="s">
        <v>38</v>
      </c>
      <c r="B24" t="s">
        <v>60</v>
      </c>
      <c r="C24" t="s">
        <v>6</v>
      </c>
      <c r="D24">
        <v>3</v>
      </c>
      <c r="E24">
        <v>68</v>
      </c>
      <c r="F24">
        <v>60</v>
      </c>
      <c r="G24">
        <v>62</v>
      </c>
      <c r="H24">
        <v>58</v>
      </c>
      <c r="I24">
        <v>65</v>
      </c>
      <c r="J24">
        <v>63</v>
      </c>
      <c r="K24">
        <v>308</v>
      </c>
      <c r="L24">
        <f t="shared" si="0"/>
        <v>6.16</v>
      </c>
      <c r="M24">
        <f t="shared" si="1"/>
        <v>61.6</v>
      </c>
      <c r="N24" s="2" t="str">
        <f t="shared" si="2"/>
        <v>Improve</v>
      </c>
    </row>
    <row r="25" spans="1:14">
      <c r="A25" t="s">
        <v>39</v>
      </c>
      <c r="B25" t="s">
        <v>65</v>
      </c>
      <c r="C25" t="s">
        <v>13</v>
      </c>
      <c r="D25">
        <v>3</v>
      </c>
      <c r="E25">
        <v>84</v>
      </c>
      <c r="F25">
        <v>80</v>
      </c>
      <c r="G25">
        <v>78</v>
      </c>
      <c r="H25">
        <v>82</v>
      </c>
      <c r="I25">
        <v>79</v>
      </c>
      <c r="J25">
        <v>81</v>
      </c>
      <c r="K25">
        <v>400</v>
      </c>
      <c r="L25">
        <f t="shared" si="0"/>
        <v>8</v>
      </c>
      <c r="M25">
        <f t="shared" si="1"/>
        <v>80</v>
      </c>
      <c r="N25" s="2" t="str">
        <f t="shared" si="2"/>
        <v>Improve</v>
      </c>
    </row>
    <row r="26" spans="1:14">
      <c r="A26" t="s">
        <v>40</v>
      </c>
      <c r="B26" t="s">
        <v>60</v>
      </c>
      <c r="C26" t="s">
        <v>15</v>
      </c>
      <c r="D26">
        <v>3</v>
      </c>
      <c r="E26">
        <v>77</v>
      </c>
      <c r="F26">
        <v>70</v>
      </c>
      <c r="G26">
        <v>72</v>
      </c>
      <c r="H26">
        <v>68</v>
      </c>
      <c r="I26">
        <v>74</v>
      </c>
      <c r="J26">
        <v>71</v>
      </c>
      <c r="K26">
        <v>355</v>
      </c>
      <c r="L26">
        <f t="shared" si="0"/>
        <v>7.1</v>
      </c>
      <c r="M26">
        <f t="shared" si="1"/>
        <v>71</v>
      </c>
      <c r="N26" s="2" t="str">
        <f t="shared" si="2"/>
        <v>Improve</v>
      </c>
    </row>
    <row r="27" spans="1:14">
      <c r="A27" t="s">
        <v>41</v>
      </c>
      <c r="B27" t="s">
        <v>65</v>
      </c>
      <c r="C27" t="s">
        <v>2</v>
      </c>
      <c r="D27">
        <v>3</v>
      </c>
      <c r="E27">
        <v>91</v>
      </c>
      <c r="F27">
        <v>88</v>
      </c>
      <c r="G27">
        <v>86</v>
      </c>
      <c r="H27">
        <v>90</v>
      </c>
      <c r="I27">
        <v>87</v>
      </c>
      <c r="J27">
        <v>89</v>
      </c>
      <c r="K27">
        <v>440</v>
      </c>
      <c r="L27">
        <f t="shared" si="0"/>
        <v>8.8</v>
      </c>
      <c r="M27">
        <f t="shared" si="1"/>
        <v>88</v>
      </c>
      <c r="N27" s="2" t="str">
        <f t="shared" si="2"/>
        <v>Good</v>
      </c>
    </row>
    <row r="28" spans="1:14">
      <c r="A28" t="s">
        <v>42</v>
      </c>
      <c r="B28" t="s">
        <v>60</v>
      </c>
      <c r="C28" t="s">
        <v>3</v>
      </c>
      <c r="D28">
        <v>3</v>
      </c>
      <c r="E28">
        <v>75</v>
      </c>
      <c r="F28">
        <v>68</v>
      </c>
      <c r="G28">
        <v>70</v>
      </c>
      <c r="H28">
        <v>66</v>
      </c>
      <c r="I28">
        <v>72</v>
      </c>
      <c r="J28">
        <v>69</v>
      </c>
      <c r="K28">
        <v>345</v>
      </c>
      <c r="L28">
        <f t="shared" si="0"/>
        <v>6.9</v>
      </c>
      <c r="M28">
        <f t="shared" si="1"/>
        <v>69</v>
      </c>
      <c r="N28" s="2" t="str">
        <f t="shared" si="2"/>
        <v>Improve</v>
      </c>
    </row>
    <row r="29" spans="1:14">
      <c r="A29" t="s">
        <v>43</v>
      </c>
      <c r="B29" t="s">
        <v>65</v>
      </c>
      <c r="C29" t="s">
        <v>6</v>
      </c>
      <c r="D29">
        <v>3</v>
      </c>
      <c r="E29">
        <v>86</v>
      </c>
      <c r="F29">
        <v>82</v>
      </c>
      <c r="G29">
        <v>84</v>
      </c>
      <c r="H29">
        <v>80</v>
      </c>
      <c r="I29">
        <v>85</v>
      </c>
      <c r="J29">
        <v>83</v>
      </c>
      <c r="K29">
        <v>414</v>
      </c>
      <c r="L29">
        <f t="shared" si="0"/>
        <v>8.28</v>
      </c>
      <c r="M29">
        <f t="shared" si="1"/>
        <v>82.8</v>
      </c>
      <c r="N29" s="2" t="str">
        <f t="shared" si="2"/>
        <v>Good</v>
      </c>
    </row>
    <row r="30" spans="1:14">
      <c r="A30" t="s">
        <v>44</v>
      </c>
      <c r="B30" t="s">
        <v>60</v>
      </c>
      <c r="C30" t="s">
        <v>13</v>
      </c>
      <c r="D30">
        <v>3</v>
      </c>
      <c r="E30">
        <v>72</v>
      </c>
      <c r="F30">
        <v>65</v>
      </c>
      <c r="G30">
        <v>67</v>
      </c>
      <c r="H30">
        <v>63</v>
      </c>
      <c r="I30">
        <v>70</v>
      </c>
      <c r="J30">
        <v>68</v>
      </c>
      <c r="K30">
        <v>333</v>
      </c>
      <c r="L30">
        <f t="shared" si="0"/>
        <v>6.66</v>
      </c>
      <c r="M30">
        <f t="shared" si="1"/>
        <v>66.6</v>
      </c>
      <c r="N30" s="2" t="str">
        <f t="shared" si="2"/>
        <v>Improve</v>
      </c>
    </row>
    <row r="31" spans="1:14">
      <c r="A31" t="s">
        <v>45</v>
      </c>
      <c r="B31" t="s">
        <v>65</v>
      </c>
      <c r="C31" t="s">
        <v>15</v>
      </c>
      <c r="D31">
        <v>3</v>
      </c>
      <c r="E31">
        <v>94</v>
      </c>
      <c r="F31">
        <v>90</v>
      </c>
      <c r="G31">
        <v>92</v>
      </c>
      <c r="H31">
        <v>88</v>
      </c>
      <c r="I31">
        <v>91</v>
      </c>
      <c r="J31">
        <v>93</v>
      </c>
      <c r="K31">
        <v>454</v>
      </c>
      <c r="L31">
        <f t="shared" si="0"/>
        <v>9.08</v>
      </c>
      <c r="M31">
        <f t="shared" si="1"/>
        <v>90.8</v>
      </c>
      <c r="N31" s="2" t="str">
        <f t="shared" si="2"/>
        <v>Excellent</v>
      </c>
    </row>
  </sheetData>
  <pageMargins left="0.75" right="0.75" top="1" bottom="1" header="0.5" footer="0.5"/>
  <pageSetup paperSize="1" orientation="portrait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40" zoomScaleNormal="40" topLeftCell="B1" workbookViewId="0">
      <selection activeCell="BA59" sqref="BA59"/>
    </sheetView>
  </sheetViews>
  <sheetFormatPr defaultColWidth="8.88888888888889" defaultRowHeight="14.4"/>
  <sheetData/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Student Data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2026-01-12T07:00:00Z</dcterms:created>
  <dcterms:modified xsi:type="dcterms:W3CDTF">2026-01-27T12:25:28Z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138ED226A04C465CB4D77535DA3E7E63_12</vt:lpwstr>
  </property>
  <property fmtid="{D5CDD505-2E9C-101B-9397-08002B2CF9AE}" pid="3" name="KSOProductBuildVer">
    <vt:lpwstr>2057-12.2.0.23197</vt:lpwstr>
  </property>
</Properties>
</file>